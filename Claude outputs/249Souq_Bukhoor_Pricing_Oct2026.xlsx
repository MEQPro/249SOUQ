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ice options" sheetId="2" state="visible" r:id="rId4"/>
    <sheet name="Orders per mont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<sst xmlns="http://schemas.openxmlformats.org/spreadsheetml/2006/main" count="64" uniqueCount="61">
  <si>
    <t xml:space="preserve">249Souq — Bukhoor cost &amp; price model (Oct 2026)</t>
  </si>
  <si>
    <t xml:space="preserve">Blue = input you can change. Everything else is a formula. Yellow = main decision cell.</t>
  </si>
  <si>
    <t xml:space="preserve">Item</t>
  </si>
  <si>
    <t xml:space="preserve">Value</t>
  </si>
  <si>
    <t xml:space="preserve">Source / note</t>
  </si>
  <si>
    <t xml:space="preserve">Production cost per jar (raw materials + jar + bag)</t>
  </si>
  <si>
    <t xml:space="preserve">Source: 4 Sep 2026 cost summary (AED 280 raw materials per batch of 24 jars + AED 2.33 jar + AED 0.60 bag). Estimate shared by the maker; khomra was NOT in it (she used her own stock).</t>
  </si>
  <si>
    <t xml:space="preserve">Khomra: price per bottle (AED)</t>
  </si>
  <si>
    <t xml:space="preserve">Stated by Salwa (Oct 2026) — maker now buys khomra instead of using her own stock.</t>
  </si>
  <si>
    <t xml:space="preserve">Big bottles of bukhoor made from 1 khomra bottle</t>
  </si>
  <si>
    <t xml:space="preserve">Stated by Salwa.</t>
  </si>
  <si>
    <t xml:space="preserve">Small jars per big bottle</t>
  </si>
  <si>
    <t xml:space="preserve">Stated by Salwa (roughly).</t>
  </si>
  <si>
    <t xml:space="preserve">Jars per khomra bottle</t>
  </si>
  <si>
    <t xml:space="preserve">Formula</t>
  </si>
  <si>
    <t xml:space="preserve">Khomra cost per jar</t>
  </si>
  <si>
    <t xml:space="preserve">NEW full production cost per jar</t>
  </si>
  <si>
    <t xml:space="preserve">Formula = old cost + khomra</t>
  </si>
  <si>
    <t xml:space="preserve">Cost price Salwa pays the maker per jar (AED)</t>
  </si>
  <si>
    <t xml:space="preserve">Stated: stays AED 40, includes everything.</t>
  </si>
  <si>
    <t xml:space="preserve">Maker's profit per jar (AED)</t>
  </si>
  <si>
    <t xml:space="preserve">Maker's profit % of her price</t>
  </si>
  <si>
    <t xml:space="preserve">Courier cost per parcel (AED)</t>
  </si>
  <si>
    <t xml:space="preserve">Sheet 4 of uae_gcc_courier_shortlist.xlsx (IQ Fulfillment, up to 5kg).</t>
  </si>
  <si>
    <t xml:space="preserve">Delivery fee charged to customer (AED)</t>
  </si>
  <si>
    <t xml:space="preserve">Fixed AED 20 — Sheet 4.</t>
  </si>
  <si>
    <t xml:space="preserve">Courier monthly minimum billing (AED)</t>
  </si>
  <si>
    <t xml:space="preserve">Sheet 4 — confirm with IQF whether it applies from month 1.</t>
  </si>
  <si>
    <t xml:space="preserve">Stripe fee %</t>
  </si>
  <si>
    <t xml:space="preserve">Estimate (2.9% + AED 1) — also used in Sheet 4; check your Stripe account.</t>
  </si>
  <si>
    <t xml:space="preserve">Stripe fixed fee per payment (AED)</t>
  </si>
  <si>
    <t xml:space="preserve">Estimate.</t>
  </si>
  <si>
    <t xml:space="preserve">Retail price per jar being tested (AED)</t>
  </si>
  <si>
    <t xml:space="preserve">DECISION CELL — change this to see "Orders per month" update.</t>
  </si>
  <si>
    <t xml:space="preserve">Price options per jar (AED) — what you earn after Stripe fee and courier</t>
  </si>
  <si>
    <t xml:space="preserve">Single order = customer pays jar + AED 20 delivery. Buy-2 = 2 jars, free shipping (you pay the courier). Assumes courier minimum already covered (30+ orders/month).</t>
  </si>
  <si>
    <t xml:space="preserve">Retail price per jar</t>
  </si>
  <si>
    <t xml:space="preserve">Product margin (AED)</t>
  </si>
  <si>
    <t xml:space="preserve">Product margin %</t>
  </si>
  <si>
    <t xml:space="preserve">Customer pays (1 jar + delivery)</t>
  </si>
  <si>
    <t xml:space="preserve">Stripe fee</t>
  </si>
  <si>
    <t xml:space="preserve">Delivery margin (fee − courier)</t>
  </si>
  <si>
    <t xml:space="preserve">NET per 1-jar order</t>
  </si>
  <si>
    <t xml:space="preserve">Buy-2 price (free shipping)</t>
  </si>
  <si>
    <t xml:space="preserve">Stripe fee on buy-2</t>
  </si>
  <si>
    <t xml:space="preserve">NET per buy-2 order</t>
  </si>
  <si>
    <t xml:space="preserve">NET per jar in buy-2</t>
  </si>
  <si>
    <t xml:space="preserve">Reading this:</t>
  </si>
  <si>
    <t xml:space="preserve">• Khomra adds only about AED 1.45 per jar to production cost. The maker's cost price to you can stay AED 40 and she still keeps about 60%.</t>
  </si>
  <si>
    <t xml:space="preserve">• The price decision is about YOUR margin, not about the khomra. Compare the NET columns; the higher price leaves more room for promos (free roll-on, buy-2 shipping).</t>
  </si>
  <si>
    <t xml:space="preserve">• Tabby fees (if you use it) are NOT included — check your Tabby merchant rate and subtract it on Tabby orders.</t>
  </si>
  <si>
    <t xml:space="preserve">Monthly profit at the price in Inputs!B19 (1-jar orders, AED 20 delivery)</t>
  </si>
  <si>
    <t xml:space="preserve">Retail price tested:</t>
  </si>
  <si>
    <t xml:space="preserve">Orders / month</t>
  </si>
  <si>
    <t xml:space="preserve">Product margin</t>
  </si>
  <si>
    <t xml:space="preserve">Delivery revenue</t>
  </si>
  <si>
    <t xml:space="preserve">Courier cost (min applies)</t>
  </si>
  <si>
    <t xml:space="preserve">Stripe fees</t>
  </si>
  <si>
    <t xml:space="preserve">NET profit</t>
  </si>
  <si>
    <t xml:space="preserve">NET per order</t>
  </si>
  <si>
    <t xml:space="preserve">Note: the AED 500 courier minimum makes low-volume months look worse; confirm with IQ Fulfillment whether it applies from month 1.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</si>
</sst>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0.0%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208"/>
        <bgColor rgb="FF00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120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22.35" hidden="false" customHeight="false" outlineLevel="0" collapsed="false">
      <c r="A4" s="4" t="s">
        <v>5</v>
      </c>
      <c r="B4" s="5" t="n">
        <v>14.6</v>
      </c>
      <c r="C4" s="6" t="s">
        <v>6</v>
      </c>
    </row>
    <row r="5" customFormat="false" ht="15" hidden="false" customHeight="false" outlineLevel="0" collapsed="false">
      <c r="A5" s="4" t="s">
        <v>7</v>
      </c>
      <c r="B5" s="5" t="n">
        <v>200</v>
      </c>
      <c r="C5" s="6" t="s">
        <v>8</v>
      </c>
    </row>
    <row r="6" customFormat="false" ht="15" hidden="false" customHeight="false" outlineLevel="0" collapsed="false">
      <c r="A6" s="4" t="s">
        <v>9</v>
      </c>
      <c r="B6" s="7" t="n">
        <v>3</v>
      </c>
      <c r="C6" s="6" t="s">
        <v>10</v>
      </c>
    </row>
    <row r="7" customFormat="false" ht="15" hidden="false" customHeight="false" outlineLevel="0" collapsed="false">
      <c r="A7" s="4" t="s">
        <v>11</v>
      </c>
      <c r="B7" s="7" t="n">
        <v>46</v>
      </c>
      <c r="C7" s="6" t="s">
        <v>12</v>
      </c>
    </row>
    <row r="8" customFormat="false" ht="15" hidden="false" customHeight="false" outlineLevel="0" collapsed="false">
      <c r="A8" s="4" t="s">
        <v>13</v>
      </c>
      <c r="B8" s="4" t="n">
        <f aca="false">B6*B7</f>
        <v>138</v>
      </c>
      <c r="C8" s="6" t="s">
        <v>14</v>
      </c>
    </row>
    <row r="9" customFormat="false" ht="15" hidden="false" customHeight="false" outlineLevel="0" collapsed="false">
      <c r="A9" s="4" t="s">
        <v>15</v>
      </c>
      <c r="B9" s="8" t="n">
        <f aca="false">B5/B8</f>
        <v>1.44927536231884</v>
      </c>
      <c r="C9" s="6" t="s">
        <v>14</v>
      </c>
    </row>
    <row r="10" customFormat="false" ht="15" hidden="false" customHeight="false" outlineLevel="0" collapsed="false">
      <c r="A10" s="4" t="s">
        <v>16</v>
      </c>
      <c r="B10" s="8" t="n">
        <f aca="false">B4+B9</f>
        <v>16.0492753623188</v>
      </c>
      <c r="C10" s="6" t="s">
        <v>17</v>
      </c>
    </row>
    <row r="11" customFormat="false" ht="15" hidden="false" customHeight="false" outlineLevel="0" collapsed="false">
      <c r="A11" s="4" t="s">
        <v>18</v>
      </c>
      <c r="B11" s="5" t="n">
        <v>40</v>
      </c>
      <c r="C11" s="6" t="s">
        <v>19</v>
      </c>
    </row>
    <row r="12" customFormat="false" ht="15" hidden="false" customHeight="false" outlineLevel="0" collapsed="false">
      <c r="A12" s="4" t="s">
        <v>20</v>
      </c>
      <c r="B12" s="8" t="n">
        <f aca="false">B11-B10</f>
        <v>23.9507246376812</v>
      </c>
      <c r="C12" s="6" t="s">
        <v>14</v>
      </c>
    </row>
    <row r="13" customFormat="false" ht="15" hidden="false" customHeight="false" outlineLevel="0" collapsed="false">
      <c r="A13" s="4" t="s">
        <v>21</v>
      </c>
      <c r="B13" s="9" t="n">
        <f aca="false">B12/B11</f>
        <v>0.598768115942029</v>
      </c>
      <c r="C13" s="6" t="s">
        <v>14</v>
      </c>
    </row>
    <row r="14" customFormat="false" ht="15" hidden="false" customHeight="false" outlineLevel="0" collapsed="false">
      <c r="A14" s="4" t="s">
        <v>22</v>
      </c>
      <c r="B14" s="5" t="n">
        <v>15</v>
      </c>
      <c r="C14" s="6" t="s">
        <v>23</v>
      </c>
    </row>
    <row r="15" customFormat="false" ht="15" hidden="false" customHeight="false" outlineLevel="0" collapsed="false">
      <c r="A15" s="4" t="s">
        <v>24</v>
      </c>
      <c r="B15" s="5" t="n">
        <v>20</v>
      </c>
      <c r="C15" s="6" t="s">
        <v>25</v>
      </c>
    </row>
    <row r="16" customFormat="false" ht="15" hidden="false" customHeight="false" outlineLevel="0" collapsed="false">
      <c r="A16" s="4" t="s">
        <v>26</v>
      </c>
      <c r="B16" s="5" t="n">
        <v>500</v>
      </c>
      <c r="C16" s="6" t="s">
        <v>27</v>
      </c>
    </row>
    <row r="17" customFormat="false" ht="15" hidden="false" customHeight="false" outlineLevel="0" collapsed="false">
      <c r="A17" s="4" t="s">
        <v>28</v>
      </c>
      <c r="B17" s="10" t="n">
        <v>0.029</v>
      </c>
      <c r="C17" s="6" t="s">
        <v>29</v>
      </c>
    </row>
    <row r="18" customFormat="false" ht="15" hidden="false" customHeight="false" outlineLevel="0" collapsed="false">
      <c r="A18" s="4" t="s">
        <v>30</v>
      </c>
      <c r="B18" s="5" t="n">
        <v>1</v>
      </c>
      <c r="C18" s="6" t="s">
        <v>31</v>
      </c>
    </row>
    <row r="19" customFormat="false" ht="15" hidden="false" customHeight="false" outlineLevel="0" collapsed="false">
      <c r="A19" s="4" t="s">
        <v>32</v>
      </c>
      <c r="B19" s="11" t="n">
        <v>75</v>
      </c>
      <c r="C19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1" min="2" style="0" width="17"/>
  </cols>
  <sheetData>
    <row r="1" customFormat="false" ht="16.15" hidden="false" customHeight="false" outlineLevel="0" collapsed="false">
      <c r="A1" s="12" t="s">
        <v>34</v>
      </c>
    </row>
    <row r="2" customFormat="false" ht="15" hidden="false" customHeight="false" outlineLevel="0" collapsed="false">
      <c r="A2" s="13" t="s">
        <v>35</v>
      </c>
    </row>
    <row r="4" customFormat="false" ht="45" hidden="false" customHeight="tru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</row>
    <row r="5" customFormat="false" ht="15" hidden="false" customHeight="false" outlineLevel="0" collapsed="false">
      <c r="A5" s="14" t="n">
        <v>65</v>
      </c>
      <c r="B5" s="8" t="n">
        <f aca="false">A5-Inputs!$B$11</f>
        <v>25</v>
      </c>
      <c r="C5" s="15" t="n">
        <f aca="false">B5/A5</f>
        <v>0.384615384615385</v>
      </c>
      <c r="D5" s="8" t="n">
        <f aca="false">A5+Inputs!$B$15</f>
        <v>85</v>
      </c>
      <c r="E5" s="8" t="n">
        <f aca="false">D5*Inputs!$B$17+Inputs!$B$18</f>
        <v>3.465</v>
      </c>
      <c r="F5" s="8" t="n">
        <f aca="false">Inputs!$B$15-Inputs!$B$14</f>
        <v>5</v>
      </c>
      <c r="G5" s="8" t="n">
        <f aca="false">B5+F5-E5</f>
        <v>26.535</v>
      </c>
      <c r="H5" s="8" t="n">
        <f aca="false">2*A5</f>
        <v>130</v>
      </c>
      <c r="I5" s="8" t="n">
        <f aca="false">H5*Inputs!$B$17+Inputs!$B$18</f>
        <v>4.77</v>
      </c>
      <c r="J5" s="8" t="n">
        <f aca="false">2*B5-Inputs!$B$14-I5</f>
        <v>30.23</v>
      </c>
      <c r="K5" s="8" t="n">
        <f aca="false">J5/2</f>
        <v>15.115</v>
      </c>
    </row>
    <row r="6" customFormat="false" ht="15" hidden="false" customHeight="false" outlineLevel="0" collapsed="false">
      <c r="A6" s="14" t="n">
        <v>70</v>
      </c>
      <c r="B6" s="8" t="n">
        <f aca="false">A6-Inputs!$B$11</f>
        <v>30</v>
      </c>
      <c r="C6" s="15" t="n">
        <f aca="false">B6/A6</f>
        <v>0.428571428571429</v>
      </c>
      <c r="D6" s="8" t="n">
        <f aca="false">A6+Inputs!$B$15</f>
        <v>90</v>
      </c>
      <c r="E6" s="8" t="n">
        <f aca="false">D6*Inputs!$B$17+Inputs!$B$18</f>
        <v>3.61</v>
      </c>
      <c r="F6" s="8" t="n">
        <f aca="false">Inputs!$B$15-Inputs!$B$14</f>
        <v>5</v>
      </c>
      <c r="G6" s="8" t="n">
        <f aca="false">B6+F6-E6</f>
        <v>31.39</v>
      </c>
      <c r="H6" s="8" t="n">
        <f aca="false">2*A6</f>
        <v>140</v>
      </c>
      <c r="I6" s="8" t="n">
        <f aca="false">H6*Inputs!$B$17+Inputs!$B$18</f>
        <v>5.06</v>
      </c>
      <c r="J6" s="8" t="n">
        <f aca="false">2*B6-Inputs!$B$14-I6</f>
        <v>39.94</v>
      </c>
      <c r="K6" s="8" t="n">
        <f aca="false">J6/2</f>
        <v>19.97</v>
      </c>
    </row>
    <row r="7" customFormat="false" ht="15" hidden="false" customHeight="false" outlineLevel="0" collapsed="false">
      <c r="A7" s="14" t="n">
        <v>75</v>
      </c>
      <c r="B7" s="8" t="n">
        <f aca="false">A7-Inputs!$B$11</f>
        <v>35</v>
      </c>
      <c r="C7" s="15" t="n">
        <f aca="false">B7/A7</f>
        <v>0.466666666666667</v>
      </c>
      <c r="D7" s="8" t="n">
        <f aca="false">A7+Inputs!$B$15</f>
        <v>95</v>
      </c>
      <c r="E7" s="8" t="n">
        <f aca="false">D7*Inputs!$B$17+Inputs!$B$18</f>
        <v>3.755</v>
      </c>
      <c r="F7" s="8" t="n">
        <f aca="false">Inputs!$B$15-Inputs!$B$14</f>
        <v>5</v>
      </c>
      <c r="G7" s="8" t="n">
        <f aca="false">B7+F7-E7</f>
        <v>36.245</v>
      </c>
      <c r="H7" s="8" t="n">
        <f aca="false">2*A7</f>
        <v>150</v>
      </c>
      <c r="I7" s="8" t="n">
        <f aca="false">H7*Inputs!$B$17+Inputs!$B$18</f>
        <v>5.35</v>
      </c>
      <c r="J7" s="8" t="n">
        <f aca="false">2*B7-Inputs!$B$14-I7</f>
        <v>49.65</v>
      </c>
      <c r="K7" s="8" t="n">
        <f aca="false">J7/2</f>
        <v>24.825</v>
      </c>
    </row>
    <row r="8" customFormat="false" ht="15" hidden="false" customHeight="false" outlineLevel="0" collapsed="false">
      <c r="A8" s="14" t="n">
        <v>80</v>
      </c>
      <c r="B8" s="8" t="n">
        <f aca="false">A8-Inputs!$B$11</f>
        <v>40</v>
      </c>
      <c r="C8" s="15" t="n">
        <f aca="false">B8/A8</f>
        <v>0.5</v>
      </c>
      <c r="D8" s="8" t="n">
        <f aca="false">A8+Inputs!$B$15</f>
        <v>100</v>
      </c>
      <c r="E8" s="8" t="n">
        <f aca="false">D8*Inputs!$B$17+Inputs!$B$18</f>
        <v>3.9</v>
      </c>
      <c r="F8" s="8" t="n">
        <f aca="false">Inputs!$B$15-Inputs!$B$14</f>
        <v>5</v>
      </c>
      <c r="G8" s="8" t="n">
        <f aca="false">B8+F8-E8</f>
        <v>41.1</v>
      </c>
      <c r="H8" s="8" t="n">
        <f aca="false">2*A8</f>
        <v>160</v>
      </c>
      <c r="I8" s="8" t="n">
        <f aca="false">H8*Inputs!$B$17+Inputs!$B$18</f>
        <v>5.64</v>
      </c>
      <c r="J8" s="8" t="n">
        <f aca="false">2*B8-Inputs!$B$14-I8</f>
        <v>59.36</v>
      </c>
      <c r="K8" s="8" t="n">
        <f aca="false">J8/2</f>
        <v>29.68</v>
      </c>
    </row>
    <row r="9" customFormat="false" ht="15" hidden="false" customHeight="false" outlineLevel="0" collapsed="false">
      <c r="A9" s="14" t="n">
        <v>85</v>
      </c>
      <c r="B9" s="8" t="n">
        <f aca="false">A9-Inputs!$B$11</f>
        <v>45</v>
      </c>
      <c r="C9" s="15" t="n">
        <f aca="false">B9/A9</f>
        <v>0.529411764705882</v>
      </c>
      <c r="D9" s="8" t="n">
        <f aca="false">A9+Inputs!$B$15</f>
        <v>105</v>
      </c>
      <c r="E9" s="8" t="n">
        <f aca="false">D9*Inputs!$B$17+Inputs!$B$18</f>
        <v>4.045</v>
      </c>
      <c r="F9" s="8" t="n">
        <f aca="false">Inputs!$B$15-Inputs!$B$14</f>
        <v>5</v>
      </c>
      <c r="G9" s="8" t="n">
        <f aca="false">B9+F9-E9</f>
        <v>45.955</v>
      </c>
      <c r="H9" s="8" t="n">
        <f aca="false">2*A9</f>
        <v>170</v>
      </c>
      <c r="I9" s="8" t="n">
        <f aca="false">H9*Inputs!$B$17+Inputs!$B$18</f>
        <v>5.93</v>
      </c>
      <c r="J9" s="8" t="n">
        <f aca="false">2*B9-Inputs!$B$14-I9</f>
        <v>69.07</v>
      </c>
      <c r="K9" s="8" t="n">
        <f aca="false">J9/2</f>
        <v>34.535</v>
      </c>
    </row>
    <row r="10" customFormat="false" ht="15" hidden="false" customHeight="false" outlineLevel="0" collapsed="false">
      <c r="A10" s="14" t="n">
        <v>90</v>
      </c>
      <c r="B10" s="8" t="n">
        <f aca="false">A10-Inputs!$B$11</f>
        <v>50</v>
      </c>
      <c r="C10" s="15" t="n">
        <f aca="false">B10/A10</f>
        <v>0.555555555555556</v>
      </c>
      <c r="D10" s="8" t="n">
        <f aca="false">A10+Inputs!$B$15</f>
        <v>110</v>
      </c>
      <c r="E10" s="8" t="n">
        <f aca="false">D10*Inputs!$B$17+Inputs!$B$18</f>
        <v>4.19</v>
      </c>
      <c r="F10" s="8" t="n">
        <f aca="false">Inputs!$B$15-Inputs!$B$14</f>
        <v>5</v>
      </c>
      <c r="G10" s="8" t="n">
        <f aca="false">B10+F10-E10</f>
        <v>50.81</v>
      </c>
      <c r="H10" s="8" t="n">
        <f aca="false">2*A10</f>
        <v>180</v>
      </c>
      <c r="I10" s="8" t="n">
        <f aca="false">H10*Inputs!$B$17+Inputs!$B$18</f>
        <v>6.22</v>
      </c>
      <c r="J10" s="8" t="n">
        <f aca="false">2*B10-Inputs!$B$14-I10</f>
        <v>78.78</v>
      </c>
      <c r="K10" s="8" t="n">
        <f aca="false">J10/2</f>
        <v>39.39</v>
      </c>
    </row>
    <row r="12" customFormat="false" ht="15" hidden="false" customHeight="false" outlineLevel="0" collapsed="false">
      <c r="A12" s="16" t="s">
        <v>47</v>
      </c>
    </row>
    <row r="13" customFormat="false" ht="15" hidden="false" customHeight="false" outlineLevel="0" collapsed="false">
      <c r="A13" s="4" t="s">
        <v>48</v>
      </c>
    </row>
    <row r="14" customFormat="false" ht="15" hidden="false" customHeight="false" outlineLevel="0" collapsed="false">
      <c r="A14" s="4" t="s">
        <v>49</v>
      </c>
    </row>
    <row r="15" customFormat="false" ht="15" hidden="false" customHeight="false" outlineLevel="0" collapsed="false">
      <c r="A15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9"/>
  </cols>
  <sheetData>
    <row r="1" customFormat="false" ht="16.15" hidden="false" customHeight="false" outlineLevel="0" collapsed="false">
      <c r="A1" s="12" t="s">
        <v>51</v>
      </c>
    </row>
    <row r="2" customFormat="false" ht="15" hidden="false" customHeight="false" outlineLevel="0" collapsed="false">
      <c r="A2" s="16" t="s">
        <v>52</v>
      </c>
      <c r="B2" s="17" t="n">
        <f aca="false">Inputs!B19</f>
        <v>75</v>
      </c>
    </row>
    <row r="4" customFormat="false" ht="31.5" hidden="false" customHeight="tru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</row>
    <row r="5" customFormat="false" ht="15" hidden="false" customHeight="false" outlineLevel="0" collapsed="false">
      <c r="A5" s="7" t="n">
        <v>5</v>
      </c>
      <c r="B5" s="8" t="n">
        <f aca="false">A5*($B$2-Inputs!$B$11)</f>
        <v>175</v>
      </c>
      <c r="C5" s="8" t="n">
        <f aca="false">A5*Inputs!$B$15</f>
        <v>100</v>
      </c>
      <c r="D5" s="8" t="n">
        <f aca="false">MAX(A5*Inputs!$B$14,Inputs!$B$16)</f>
        <v>500</v>
      </c>
      <c r="E5" s="8" t="n">
        <f aca="false">A5*(($B$2+Inputs!$B$15)*Inputs!$B$17+Inputs!$B$18)</f>
        <v>18.775</v>
      </c>
      <c r="F5" s="8" t="n">
        <f aca="false">B5+C5-D5-E5</f>
        <v>-243.775</v>
      </c>
      <c r="G5" s="8" t="n">
        <f aca="false">F5/A5</f>
        <v>-48.755</v>
      </c>
    </row>
    <row r="6" customFormat="false" ht="15" hidden="false" customHeight="false" outlineLevel="0" collapsed="false">
      <c r="A6" s="7" t="n">
        <v>10</v>
      </c>
      <c r="B6" s="8" t="n">
        <f aca="false">A6*($B$2-Inputs!$B$11)</f>
        <v>350</v>
      </c>
      <c r="C6" s="8" t="n">
        <f aca="false">A6*Inputs!$B$15</f>
        <v>200</v>
      </c>
      <c r="D6" s="8" t="n">
        <f aca="false">MAX(A6*Inputs!$B$14,Inputs!$B$16)</f>
        <v>500</v>
      </c>
      <c r="E6" s="8" t="n">
        <f aca="false">A6*(($B$2+Inputs!$B$15)*Inputs!$B$17+Inputs!$B$18)</f>
        <v>37.55</v>
      </c>
      <c r="F6" s="8" t="n">
        <f aca="false">B6+C6-D6-E6</f>
        <v>12.45</v>
      </c>
      <c r="G6" s="8" t="n">
        <f aca="false">F6/A6</f>
        <v>1.245</v>
      </c>
    </row>
    <row r="7" customFormat="false" ht="15" hidden="false" customHeight="false" outlineLevel="0" collapsed="false">
      <c r="A7" s="7" t="n">
        <v>15</v>
      </c>
      <c r="B7" s="8" t="n">
        <f aca="false">A7*($B$2-Inputs!$B$11)</f>
        <v>525</v>
      </c>
      <c r="C7" s="8" t="n">
        <f aca="false">A7*Inputs!$B$15</f>
        <v>300</v>
      </c>
      <c r="D7" s="8" t="n">
        <f aca="false">MAX(A7*Inputs!$B$14,Inputs!$B$16)</f>
        <v>500</v>
      </c>
      <c r="E7" s="8" t="n">
        <f aca="false">A7*(($B$2+Inputs!$B$15)*Inputs!$B$17+Inputs!$B$18)</f>
        <v>56.325</v>
      </c>
      <c r="F7" s="8" t="n">
        <f aca="false">B7+C7-D7-E7</f>
        <v>268.675</v>
      </c>
      <c r="G7" s="8" t="n">
        <f aca="false">F7/A7</f>
        <v>17.9116666666667</v>
      </c>
    </row>
    <row r="8" customFormat="false" ht="15" hidden="false" customHeight="false" outlineLevel="0" collapsed="false">
      <c r="A8" s="7" t="n">
        <v>25</v>
      </c>
      <c r="B8" s="8" t="n">
        <f aca="false">A8*($B$2-Inputs!$B$11)</f>
        <v>875</v>
      </c>
      <c r="C8" s="8" t="n">
        <f aca="false">A8*Inputs!$B$15</f>
        <v>500</v>
      </c>
      <c r="D8" s="8" t="n">
        <f aca="false">MAX(A8*Inputs!$B$14,Inputs!$B$16)</f>
        <v>500</v>
      </c>
      <c r="E8" s="8" t="n">
        <f aca="false">A8*(($B$2+Inputs!$B$15)*Inputs!$B$17+Inputs!$B$18)</f>
        <v>93.875</v>
      </c>
      <c r="F8" s="8" t="n">
        <f aca="false">B8+C8-D8-E8</f>
        <v>781.125</v>
      </c>
      <c r="G8" s="8" t="n">
        <f aca="false">F8/A8</f>
        <v>31.245</v>
      </c>
    </row>
    <row r="9" customFormat="false" ht="15" hidden="false" customHeight="false" outlineLevel="0" collapsed="false">
      <c r="A9" s="7" t="n">
        <v>34</v>
      </c>
      <c r="B9" s="8" t="n">
        <f aca="false">A9*($B$2-Inputs!$B$11)</f>
        <v>1190</v>
      </c>
      <c r="C9" s="8" t="n">
        <f aca="false">A9*Inputs!$B$15</f>
        <v>680</v>
      </c>
      <c r="D9" s="8" t="n">
        <f aca="false">MAX(A9*Inputs!$B$14,Inputs!$B$16)</f>
        <v>510</v>
      </c>
      <c r="E9" s="8" t="n">
        <f aca="false">A9*(($B$2+Inputs!$B$15)*Inputs!$B$17+Inputs!$B$18)</f>
        <v>127.67</v>
      </c>
      <c r="F9" s="8" t="n">
        <f aca="false">B9+C9-D9-E9</f>
        <v>1232.33</v>
      </c>
      <c r="G9" s="8" t="n">
        <f aca="false">F9/A9</f>
        <v>36.245</v>
      </c>
    </row>
    <row r="10" customFormat="false" ht="15" hidden="false" customHeight="false" outlineLevel="0" collapsed="false">
      <c r="A10" s="7" t="n">
        <v>50</v>
      </c>
      <c r="B10" s="8" t="n">
        <f aca="false">A10*($B$2-Inputs!$B$11)</f>
        <v>1750</v>
      </c>
      <c r="C10" s="8" t="n">
        <f aca="false">A10*Inputs!$B$15</f>
        <v>1000</v>
      </c>
      <c r="D10" s="8" t="n">
        <f aca="false">MAX(A10*Inputs!$B$14,Inputs!$B$16)</f>
        <v>750</v>
      </c>
      <c r="E10" s="8" t="n">
        <f aca="false">A10*(($B$2+Inputs!$B$15)*Inputs!$B$17+Inputs!$B$18)</f>
        <v>187.75</v>
      </c>
      <c r="F10" s="8" t="n">
        <f aca="false">B10+C10-D10-E10</f>
        <v>1812.25</v>
      </c>
      <c r="G10" s="8" t="n">
        <f aca="false">F10/A10</f>
        <v>36.245</v>
      </c>
    </row>
    <row r="11" customFormat="false" ht="15" hidden="false" customHeight="false" outlineLevel="0" collapsed="false">
      <c r="A11" s="7" t="n">
        <v>75</v>
      </c>
      <c r="B11" s="8" t="n">
        <f aca="false">A11*($B$2-Inputs!$B$11)</f>
        <v>2625</v>
      </c>
      <c r="C11" s="8" t="n">
        <f aca="false">A11*Inputs!$B$15</f>
        <v>1500</v>
      </c>
      <c r="D11" s="8" t="n">
        <f aca="false">MAX(A11*Inputs!$B$14,Inputs!$B$16)</f>
        <v>1125</v>
      </c>
      <c r="E11" s="8" t="n">
        <f aca="false">A11*(($B$2+Inputs!$B$15)*Inputs!$B$17+Inputs!$B$18)</f>
        <v>281.625</v>
      </c>
      <c r="F11" s="8" t="n">
        <f aca="false">B11+C11-D11-E11</f>
        <v>2718.375</v>
      </c>
      <c r="G11" s="8" t="n">
        <f aca="false">F11/A11</f>
        <v>36.245</v>
      </c>
    </row>
    <row r="12" customFormat="false" ht="15" hidden="false" customHeight="false" outlineLevel="0" collapsed="false">
      <c r="A12" s="7" t="n">
        <v>100</v>
      </c>
      <c r="B12" s="8" t="n">
        <f aca="false">A12*($B$2-Inputs!$B$11)</f>
        <v>3500</v>
      </c>
      <c r="C12" s="8" t="n">
        <f aca="false">A12*Inputs!$B$15</f>
        <v>2000</v>
      </c>
      <c r="D12" s="8" t="n">
        <f aca="false">MAX(A12*Inputs!$B$14,Inputs!$B$16)</f>
        <v>1500</v>
      </c>
      <c r="E12" s="8" t="n">
        <f aca="false">A12*(($B$2+Inputs!$B$15)*Inputs!$B$17+Inputs!$B$18)</f>
        <v>375.5</v>
      </c>
      <c r="F12" s="8" t="n">
        <f aca="false">B12+C12-D12-E12</f>
        <v>3624.5</v>
      </c>
      <c r="G12" s="8" t="n">
        <f aca="false">F12/A12</f>
        <v>36.245</v>
      </c>
    </row>
    <row r="14" customFormat="false" ht="15" hidden="false" customHeight="false" outlineLevel="0" collapsed="false">
      <c r="A14" s="1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2026-10-26T07:46:24Z</dcterms:created>
  <dc:creator>openpyxl</dc:creator>
  <dc:description/>
  <dc:language>en-US</dc:language>
  <cp:lastModifiedBy/>
  <dcterms:modified xsi:type="dcterms:W3CDTF">2026-10-26T07:46:24Z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