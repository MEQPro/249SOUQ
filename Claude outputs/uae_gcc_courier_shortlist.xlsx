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Research Shortlist" sheetId="1" state="visible" r:id="rId3"/>
    <sheet name="2. Quotes Received" sheetId="2" state="visible" r:id="rId4"/>
    <sheet name="3. Cost Comparison" sheetId="3" state="visible" r:id="rId5"/>
    <sheet name="4. IQF Final Plan (AED20)" sheetId="4" state="visible" r:id="rId6"/>
    <sheet name="5. New Products Costing" sheetId="5" state="visible" r:id="rId7"/>
    <sheet name="6. Bundles &amp; Gift Threshold" sheetId="6" state="visible" r:id="rId8"/>
  </sheets>
  <definedNames>
    <definedName function="false" hidden="true" localSheetId="0" name="_xlnm._FilterDatabase" vbProcedure="false">'1. Research Shortlist'!$A$4:$F$17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<sst xmlns="http://schemas.openxmlformats.org/spreadsheetml/2006/main" count="229" uniqueCount="207">
  <si>
    <t xml:space="preserve">UAE &amp; GCC Delivery Companies — Cost-Effective First</t>
  </si>
  <si>
    <t xml:space="preserve">Ordered cheapest / most SME-friendly first. Aramex and DHL kept at the bottom as requested. Edit freely — add rows, notes, or your own rate quotes as you collect them.</t>
  </si>
  <si>
    <t xml:space="preserve">#</t>
  </si>
  <si>
    <t xml:space="preserve">Company</t>
  </si>
  <si>
    <t xml:space="preserve">Cost Tier</t>
  </si>
  <si>
    <t xml:space="preserve">Coverage</t>
  </si>
  <si>
    <t xml:space="preserve">Contact</t>
  </si>
  <si>
    <t xml:space="preserve">Notes</t>
  </si>
  <si>
    <t xml:space="preserve">swftbox</t>
  </si>
  <si>
    <t xml:space="preserve">Low — transparent subscription pricing, built for growing UAE sellers</t>
  </si>
  <si>
    <t xml:space="preserve">UAE (Dubai, Abu Dhabi/Al Ain, Sharjah, UAQ, Fujairah, RAK, Ajman) + international via partners</t>
  </si>
  <si>
    <t xml:space="preserve">support@swftbox.com | swftbox.com/contactus | Warehouse: Al Quoz Industrial Area 2, Dubai</t>
  </si>
  <si>
    <t xml:space="preserve">Your own example — 3PL/fulfillment + last-mile combo, pricing scales with volume, good fit once you pass ~200 deliveries/month</t>
  </si>
  <si>
    <t xml:space="preserve">J&amp;T Express Middle East</t>
  </si>
  <si>
    <t xml:space="preserve">Low — global budget courier brand entering GCC aggressively</t>
  </si>
  <si>
    <t xml:space="preserve">UAE, Saudi Arabia</t>
  </si>
  <si>
    <t xml:space="preserve">jtexpress.ae / jtexpress.me | Dubai office: EMAAR Business Park 2, Sheikh Zayed Rd | no public phone/email found — use website or LinkedIn</t>
  </si>
  <si>
    <t xml:space="preserve">Known globally for undercutting incumbents on price; confirm current UAE SME onboarding directly</t>
  </si>
  <si>
    <t xml:space="preserve">Speedaf</t>
  </si>
  <si>
    <t xml:space="preserve">Low — Chinese cross-border courier, aggressive MENA pricing</t>
  </si>
  <si>
    <t xml:space="preserve">No confirmed local UAE number — reach via Speedaf UAE LinkedIn/Facebook, or China HQ +86 400 888 0975</t>
  </si>
  <si>
    <t xml:space="preserve">Newer entrant; confirm local UAE office and SME rates before committing</t>
  </si>
  <si>
    <t xml:space="preserve">AGL Courier</t>
  </si>
  <si>
    <t xml:space="preserve">Low-Mid — built specifically for UAE-to-Saudi e-commerce/COD</t>
  </si>
  <si>
    <t xml:space="preserve">UAE (Dubai, Sharjah, Abu Dhabi), Saudi Arabia, Oman</t>
  </si>
  <si>
    <t xml:space="preserve">+971 4 397 1226 (9am-9pm) | WhatsApp available | aglcourier.com</t>
  </si>
  <si>
    <t xml:space="preserve">Strong fit for your Phase 1 to Phase 2 move since UAE-Saudi is their specialty lane</t>
  </si>
  <si>
    <t xml:space="preserve">Zajel Courier Services</t>
  </si>
  <si>
    <t xml:space="preserve">Low-Mid — established local UAE courier</t>
  </si>
  <si>
    <t xml:space="preserve">UAE domestic, 200+ countries international</t>
  </si>
  <si>
    <t xml:space="preserve">600 531111 | Dubai: Al Rostamani Building, Al Ittihad Rd | zajel.com</t>
  </si>
  <si>
    <t xml:space="preserve">Long-standing UAE brand, simple booking, good for early-stage low volume</t>
  </si>
  <si>
    <t xml:space="preserve">iMile Delivery</t>
  </si>
  <si>
    <t xml:space="preserve">Mid — large regional network, still e-commerce-friendly pricing</t>
  </si>
  <si>
    <t xml:space="preserve">UAE, Saudi Arabia, broader GCC/MENA</t>
  </si>
  <si>
    <t xml:space="preserve">600 566 221 | imile.com/AE-en/CustomerService/OfficeLocations</t>
  </si>
  <si>
    <t xml:space="preserve">Big enough for real GCC infrastructure but still positioned on price</t>
  </si>
  <si>
    <t xml:space="preserve">Quiqup</t>
  </si>
  <si>
    <t xml:space="preserve">Mid — e-commerce-native, Shopify/WooCommerce integration</t>
  </si>
  <si>
    <t xml:space="preserve">UAE (same-day Dubai, next-day Abu Dhabi/Sharjah/Ajman) + GCC/Saudi lanes</t>
  </si>
  <si>
    <t xml:space="preserve">quiqup.com/contact (Speak to an Expert form) | business-ae.quiqup.com</t>
  </si>
  <si>
    <t xml:space="preserve">No public phone/email — go through the form; strong tech integration</t>
  </si>
  <si>
    <t xml:space="preserve">Shipa Delivery (Aramex-owned)</t>
  </si>
  <si>
    <t xml:space="preserve">Mid — cheaper than parent Aramex brand</t>
  </si>
  <si>
    <t xml:space="preserve">UAE, Saudi Arabia, Kuwait</t>
  </si>
  <si>
    <t xml:space="preserve">UAE: 600 574472 | KSA: 800 5000502 | Kuwait: +965 222 75460 | shipa.com/shipa-ecommerce/get-in-touch</t>
  </si>
  <si>
    <t xml:space="preserve">Worth comparing against Aramex directly — often better SME rates under same network</t>
  </si>
  <si>
    <t xml:space="preserve">Naqel Express</t>
  </si>
  <si>
    <t xml:space="preserve">Mid — Saudi-based, wide GCC footprint</t>
  </si>
  <si>
    <t xml:space="preserve">UAE, Saudi Arabia, Qatar, Bahrain, Oman</t>
  </si>
  <si>
    <t xml:space="preserve">UAE: +971 4 313 1800 | KSA toll-free: 800 246 4444 | care@naqel.com.sa</t>
  </si>
  <si>
    <t xml:space="preserve">Already covers Phase 2 markets (Saudi + Qatar) under one contract</t>
  </si>
  <si>
    <t xml:space="preserve">SMSA Express</t>
  </si>
  <si>
    <t xml:space="preserve">Mid — Saudi's largest domestic courier, GCC reach</t>
  </si>
  <si>
    <t xml:space="preserve">Saudi Arabia, UAE, GCC</t>
  </si>
  <si>
    <t xml:space="preserve">smsaexpress.com/contact-us (contact form)</t>
  </si>
  <si>
    <t xml:space="preserve">Strong option if Saudi becomes a bigger volume market faster than expected</t>
  </si>
  <si>
    <t xml:space="preserve">Emirates Post / EMX</t>
  </si>
  <si>
    <t xml:space="preserve">Mid — government carrier with e-commerce arm</t>
  </si>
  <si>
    <t xml:space="preserve">UAE, international via postal network</t>
  </si>
  <si>
    <t xml:space="preserve">General: +971 600 599 999 (also WhatsApp) | Business: +971 4 230 3000 | info@emiratespost.ae</t>
  </si>
  <si>
    <t xml:space="preserve">Slower than private couriers typically, but reliable UAE-wide fallback</t>
  </si>
  <si>
    <t xml:space="preserve">Aramex</t>
  </si>
  <si>
    <t xml:space="preserve">Higher</t>
  </si>
  <si>
    <t xml:space="preserve">UAE, GCC, international</t>
  </si>
  <si>
    <t xml:space="preserve">Business enquiry form: aramex.com/ae/en (select E-commerce &amp; SMEs)</t>
  </si>
  <si>
    <t xml:space="preserve">Best network and reliability — use as your benchmark quote, negotiate elsewhere first</t>
  </si>
  <si>
    <t xml:space="preserve">DHL Express</t>
  </si>
  <si>
    <t xml:space="preserve">Highest — premium global</t>
  </si>
  <si>
    <t xml:space="preserve">Global, including future France/Europe lane</t>
  </si>
  <si>
    <t xml:space="preserve">dhl.com/ae-en/home/dhl-for-your-business/contact-our-small-and-medium-business-shipping-and-logistics-experts.html</t>
  </si>
  <si>
    <t xml:space="preserve">Save for when you actually start shipping to Europe — not needed at UAE launch scale</t>
  </si>
  <si>
    <t xml:space="preserve">Note:</t>
  </si>
  <si>
    <t xml:space="preserve">OTO (tryoto.com) is a multi-carrier shipping platform, not a courier — it plugs into 400+ carriers including several above. Useful once you're juggling multiple providers, not a substitute for picking one now.</t>
  </si>
  <si>
    <t xml:space="preserve">Flag:</t>
  </si>
  <si>
    <t xml:space="preserve">J&amp;T Express and Speedaf have thin public UAE contact info — verify they're actively operating at your scale before relying on them. Fetchr's 2026 status could not be confirmed and is left off this list.</t>
  </si>
  <si>
    <t xml:space="preserve">249Souq — Courier Quotes Received (as of 10 Sep 2026)</t>
  </si>
  <si>
    <t xml:space="preserve">All figures in AED. This replaces the earlier version that was not saved — rebuilt from your messages.</t>
  </si>
  <si>
    <t xml:space="preserve">Courier</t>
  </si>
  <si>
    <t xml:space="preserve">Base rate / order</t>
  </si>
  <si>
    <t xml:space="preserve">Rate structure notes</t>
  </si>
  <si>
    <t xml:space="preserve">Monthly minimum / commitment</t>
  </si>
  <si>
    <t xml:space="preserve">DG (bukhoor) accepted?</t>
  </si>
  <si>
    <t xml:space="preserve">Source / status</t>
  </si>
  <si>
    <t xml:space="preserve">Courier (unnamed) — Quote A</t>
  </si>
  <si>
    <t xml:space="preserve">Flat quote, structure not yet detailed</t>
  </si>
  <si>
    <t xml:space="preserve">Not confirmed — ask</t>
  </si>
  <si>
    <t xml:space="preserve">From Salwa's direct calls, 9 Sep — originally the front-runner</t>
  </si>
  <si>
    <t xml:space="preserve">Courier (unnamed) — Quote B</t>
  </si>
  <si>
    <t xml:space="preserve">From Salwa's direct calls, 9 Sep</t>
  </si>
  <si>
    <t xml:space="preserve">Courier (unnamed) — Quote C</t>
  </si>
  <si>
    <t xml:space="preserve">Courier (unnamed) — Quote D</t>
  </si>
  <si>
    <t xml:space="preserve">Next Day (tiered by DAILY volume): AED 22/order up to 15 orders/day; drops to AED 18/order once you sustain 15-50 orders/day. Same-Day (Dubai) AED 26. 4-Hour Dubai AED 35 (up to 22km, parcels up to 5kg).</t>
  </si>
  <si>
    <t xml:space="preserve">No stated minimum — self-serve account, pay-per-order, pricing visible live once account created</t>
  </si>
  <si>
    <t xml:space="preserve">Not confirmed — ask (self-onboarded, no proposal doc)</t>
  </si>
  <si>
    <t xml:space="preserve">Quiqup onboarding message, 10 Sep 2026 — instant self-signup, no quote request needed</t>
  </si>
  <si>
    <t xml:space="preserve">IQ Fulfillment (IQF)</t>
  </si>
  <si>
    <t xml:space="preserve">Next Day, up to 5kg = AED 15/parcel. +AED 2 per additional kg. +AED 30 remote-area surcharge if applicable. COD service FREE. Chargeable weight = actual or volumetric, whichever higher. Formal proposal ref IQF SO LM 0909 26.</t>
  </si>
  <si>
    <t xml:space="preserve">AED 500/month MINIMUM BILLING FEE (billed AED 500 even if usage is lower) + proposal is priced on an assumed commitment of ~10 orders/day average per month, with a 30-day ramp-up grace period before rates are reviewed</t>
  </si>
  <si>
    <t xml:space="preserve">Not stated in proposal — confirm directly (DG = dangerous goods classification some couriers apply to bukhoor/incense due to combustible content)</t>
  </si>
  <si>
    <t xml:space="preserve">IQ Fulfillment formal proposal PDF, dated 09/09/2026</t>
  </si>
  <si>
    <t xml:space="preserve">⚠ Action needed:</t>
  </si>
  <si>
    <t xml:space="preserve">1) Get the monthly-minimum / commitment terms for Quotes A-D (rows 5-8) before comparing them fairly against Quiqup and IQF. 2) Confirm whether bukhoor/incense needs DG (dangerous goods) handling with each courier — IQF's own price list separately charges for "Pick and Pack DG" (AED 3/parcel), suggesting DG-classified items may cost more with them specifically.</t>
  </si>
  <si>
    <t xml:space="preserve">249Souq — Courier Cost Comparison by Monthly Order Volume</t>
  </si>
  <si>
    <t xml:space="preserve">Yellow cells are editable assumptions. All other cells are formulas — change a yellow cell and everything recalculates.</t>
  </si>
  <si>
    <t xml:space="preserve">Assumptions</t>
  </si>
  <si>
    <t xml:space="preserve">Price charged to customer per order (product + delivery)</t>
  </si>
  <si>
    <t xml:space="preserve">  of which: delivery fee charged to customer</t>
  </si>
  <si>
    <t xml:space="preserve">IQF: rate per parcel up to 5kg</t>
  </si>
  <si>
    <t xml:space="preserve">IQF: monthly minimum billing fee</t>
  </si>
  <si>
    <t xml:space="preserve">Quiqup: rate per order, low tier (&lt;=15 orders/day)</t>
  </si>
  <si>
    <t xml:space="preserve">Quiqup: rate per order, mid tier (15-50 orders/day)</t>
  </si>
  <si>
    <t xml:space="preserve">Quote A rate per order (courier TBC)</t>
  </si>
  <si>
    <t xml:space="preserve">Quote B rate per order (courier TBC)</t>
  </si>
  <si>
    <t xml:space="preserve">Quote C rate per order (courier TBC)</t>
  </si>
  <si>
    <t xml:space="preserve">Quote D rate per order (courier TBC)</t>
  </si>
  <si>
    <t xml:space="preserve">Orders / month</t>
  </si>
  <si>
    <t xml:space="preserve">Quote A total cost</t>
  </si>
  <si>
    <t xml:space="preserve">Quote B total cost</t>
  </si>
  <si>
    <t xml:space="preserve">Quote C total cost</t>
  </si>
  <si>
    <t xml:space="preserve">Quote D total cost</t>
  </si>
  <si>
    <t xml:space="preserve">Quiqup total cost</t>
  </si>
  <si>
    <t xml:space="preserve">IQF total cost</t>
  </si>
  <si>
    <t xml:space="preserve">Cheapest option</t>
  </si>
  <si>
    <t xml:space="preserve">Cheapest cost/order</t>
  </si>
  <si>
    <t xml:space="preserve">Margin left from AED20 delivery fee (cheapest)</t>
  </si>
  <si>
    <t xml:space="preserve">Reading this table:</t>
  </si>
  <si>
    <t xml:space="preserve">• IQF charges AED 500/month no matter how few orders you ship — at low volume that AED 500 is spread over very few orders, so its *effective* cost per order is highest exactly when you need it lowest (launch month).</t>
  </si>
  <si>
    <t xml:space="preserve">• Quiqup and Quotes A-D charge per order with no fixed floor (as far as confirmed) — cost scales down safely if volume is low, but its per-order rate (18-22) is higher than IQF's headline 15 once volume is high enough to clear IQF's minimum.</t>
  </si>
  <si>
    <t xml:space="preserve">• Break-even: IQF's AED 500 minimum equals ~23 orders/month at Quiqup's low-tier rate (500/22), and ~33 orders/month at IQF's own AED15 rate (500/15). Below roughly 23-33 orders/month, a pay-per-order courier is cheaper overall; above that, IQF is cheaper per order.</t>
  </si>
  <si>
    <t xml:space="preserve">• Column J shows what's left of your AED 20 customer-facing delivery fee after paying the cheapest courier that month — a negative number means that month's deliveries cost you more than you're charging, out of your own margin.</t>
  </si>
  <si>
    <t xml:space="preserve">• Quotes A-D need their own minimum-commitment terms confirmed (Sheet 2) — if any of them also carries a hidden monthly minimum, this comparison will be too optimistic for that column until you update it.</t>
  </si>
  <si>
    <t xml:space="preserve">249Souq — Final Courier Plan: IQ Fulfillment, Delivery Fixed at AED 20</t>
  </si>
  <si>
    <t xml:space="preserve">Decision: going with IQ Fulfillment. Delivery price to customer stays fixed at AED 20 regardless of IQF's actual cost.</t>
  </si>
  <si>
    <t xml:space="preserve">IQF rate per parcel (up to 5kg)</t>
  </si>
  <si>
    <t xml:space="preserve">IQF monthly minimum billing fee</t>
  </si>
  <si>
    <t xml:space="preserve">Delivery fee charged to customer (fixed)</t>
  </si>
  <si>
    <t xml:space="preserve">Product margin per order (bukhoor: 60-40)</t>
  </si>
  <si>
    <t xml:space="preserve">Est. Stripe fee per order (2.9% + AED1 on AED80)</t>
  </si>
  <si>
    <t xml:space="preserve">Orders/month</t>
  </si>
  <si>
    <t xml:space="preserve">Delivery revenue</t>
  </si>
  <si>
    <t xml:space="preserve">Delivery margin (total)</t>
  </si>
  <si>
    <t xml:space="preserve">Delivery margin (per order)</t>
  </si>
  <si>
    <t xml:space="preserve">Product margin (per order)</t>
  </si>
  <si>
    <t xml:space="preserve">Net profit per order (delivery+product-Stripe)</t>
  </si>
  <si>
    <t xml:space="preserve">Net profit for the month</t>
  </si>
  <si>
    <t xml:space="preserve">Reading this:</t>
  </si>
  <si>
    <t xml:space="preserve">• Break-even for DELIVERY ALONE is exactly 25 orders/month (20 x 25 = 500 = the IQF minimum). Below 25 orders/month, delivery runs at a loss because you're still paying the AED 500 floor.</t>
  </si>
  <si>
    <t xml:space="preserve">• At 10 orders/month: delivery loses AED 300 total (AED 30/order) — combined with product margin, NET PROFIT PER ORDER IS NEGATIVE (roughly -AED13/order) until volume climbs.</t>
  </si>
  <si>
    <t xml:space="preserve">• Past ~34 orders/month, IQF's usage charge (15 x orders) exceeds the AED 500 floor, and delivery settles into a steady ~AED 5/order profit — matching your original AED 20 vs AED 15 plan.</t>
  </si>
  <si>
    <t xml:space="preserve">• ACTION: ask IQF directly whether the AED 500 minimum applies from month 1, or only after the stated 30-day ramp-up period — their proposal mentions both a ramp-up and a hard minimum fee, and this changes month-1 economics significantly.</t>
  </si>
  <si>
    <t xml:space="preserve">• Given you currently have zero orders, expect the first few weeks to run at a delivery loss under this plan — budget for that consciously rather than being surprised by it, and revisit switching to Quiqup (no minimum) if volume stays low longer than expected.</t>
  </si>
  <si>
    <t xml:space="preserve">249Souq — New Product Costing (Bukhoor #2 + Al-Nuaim Sandaliya Line)</t>
  </si>
  <si>
    <t xml:space="preserve">Yellow cells are editable inputs. Al-Nuaim figures are read literally from the quote ("X dozen" = X × 12 units) — CONFIRM this with the vendor before ordering.</t>
  </si>
  <si>
    <t xml:space="preserve">Product</t>
  </si>
  <si>
    <t xml:space="preserve">Vendor total price (AED)</t>
  </si>
  <si>
    <t xml:space="preserve">Order qty (as quoted)</t>
  </si>
  <si>
    <t xml:space="preserve">Total units</t>
  </si>
  <si>
    <t xml:space="preserve">Cost per unit (AED)</t>
  </si>
  <si>
    <t xml:space="preserve">Suggested retail price (AED)</t>
  </si>
  <si>
    <t xml:space="preserve">Margin per unit (AED)</t>
  </si>
  <si>
    <t xml:space="preserve">Margin %</t>
  </si>
  <si>
    <t xml:space="preserve">Bukhoor #2 (second maker, via Facebook page shared)</t>
  </si>
  <si>
    <t xml:space="preserve">TBC</t>
  </si>
  <si>
    <t xml:space="preserve">Cost not yet shared by the maker</t>
  </si>
  <si>
    <t xml:space="preserve">PENDING — get her per-jar wholesale price. Placeholder retail AED 60 assumes similar economics to bukhoor #1 (confirm before listing).</t>
  </si>
  <si>
    <t xml:space="preserve">Sandaliya perfume 100ml — Tier A (bulk)</t>
  </si>
  <si>
    <t xml:space="preserve">24 dozen</t>
  </si>
  <si>
    <t xml:space="preserve">Vendor: al-nuaim.ae, Deira wholesale market. Very low per-unit cost at this volume — confirm this is really the quantity you intend to commit to (288 units is a large first order).</t>
  </si>
  <si>
    <t xml:space="preserve">Sandaliya perfume 100ml — Tier B (small carton)</t>
  </si>
  <si>
    <t xml:space="preserve">4 dozen (carton)</t>
  </si>
  <si>
    <t xml:space="preserve">Smaller, more manageable trial quantity (48 units) at a higher per-unit cost — better fit for testing demand before committing to Tier A volume.</t>
  </si>
  <si>
    <t xml:space="preserve">Sandaliya attar roll 6ml</t>
  </si>
  <si>
    <t xml:space="preserve">18 dozen</t>
  </si>
  <si>
    <t xml:space="preserve">Cheapest per-unit cost of the three — best candidate for the "near-free threshold gift" (see Sheet 6).</t>
  </si>
  <si>
    <t xml:space="preserve">249Souq — Bundle Offers &amp; Near-Free Gift Threshold Model</t>
  </si>
  <si>
    <t xml:space="preserve">Key insight: IQF charges per PARCEL (up to 5kg), not per item — so bundling multiple small items into one shipment adds pure product margin at zero extra delivery cost.</t>
  </si>
  <si>
    <t xml:space="preserve">Inputs (from Sheets 4 &amp; 5)</t>
  </si>
  <si>
    <t xml:space="preserve">Bukhoor #1 — retail price</t>
  </si>
  <si>
    <t xml:space="preserve">Bukhoor #1 — cost</t>
  </si>
  <si>
    <t xml:space="preserve">Bukhoor #2 — retail price (placeholder)</t>
  </si>
  <si>
    <t xml:space="preserve">Bukhoor #2 — cost (placeholder, confirm)</t>
  </si>
  <si>
    <t xml:space="preserve">Sandaliya attar roll 6ml — retail price</t>
  </si>
  <si>
    <t xml:space="preserve">Sandaliya attar roll 6ml — cost/unit</t>
  </si>
  <si>
    <t xml:space="preserve">IQF cost per parcel (single shipment, any items inside &lt;5kg)</t>
  </si>
  <si>
    <t xml:space="preserve">Basket</t>
  </si>
  <si>
    <t xml:space="preserve">Items included</t>
  </si>
  <si>
    <t xml:space="preserve">Customer pays (products)</t>
  </si>
  <si>
    <t xml:space="preserve">Delivery</t>
  </si>
  <si>
    <t xml:space="preserve">Total order value</t>
  </si>
  <si>
    <t xml:space="preserve">Product cost</t>
  </si>
  <si>
    <t xml:space="preserve">Courier cost</t>
  </si>
  <si>
    <t xml:space="preserve">Net profit</t>
  </si>
  <si>
    <t xml:space="preserve">Customer savings vs buying separately</t>
  </si>
  <si>
    <t xml:space="preserve">Basket A</t>
  </si>
  <si>
    <t xml:space="preserve">Bukhoor #1 only</t>
  </si>
  <si>
    <t xml:space="preserve">Basket B</t>
  </si>
  <si>
    <t xml:space="preserve">Bukhoor #1 + Bukhoor #2 (bundle)</t>
  </si>
  <si>
    <t xml:space="preserve">Basket C</t>
  </si>
  <si>
    <t xml:space="preserve">Bukhoor #1 + Bukhoor #2 + Sandaliya (FREE gift at threshold)</t>
  </si>
  <si>
    <t xml:space="preserve">Basket D</t>
  </si>
  <si>
    <t xml:space="preserve">Same 3 items bought separately as 3 single orders (no bundle)</t>
  </si>
  <si>
    <t xml:space="preserve">• Basket C is the recommended offer: buy both bukhoor jars (2 items) and get the Sandaliya attar roll FREE, one shipment, one AED 20 delivery fee.</t>
  </si>
  <si>
    <t xml:space="preserve">• Because IQF charges per parcel not per item, adding the free gift costs you only its ~AED 3.81 unit cost — a ~AED 28 perceived value for a ~AED 3.81 real cost is a strong, cheap incentive to push customers from 1 item to 2+.</t>
  </si>
  <si>
    <t xml:space="preserve">• Basket D (same 3 items bought as separate single orders) shows what it would cost the customer AND you if there were no bundle — 3x delivery fees for you to collect, but also 3x courier cost and 3x your operational effort. Column I shows the customer-facing savings the bundle creates.</t>
  </si>
  <si>
    <t xml:space="preserve">• Suggested threshold rule: 'Spend AED 120+ (2 items) and get a free Sandaliya attar roll' — simple, easy to state in a caption, and the math supports it comfortably even before Bukhoor #2's real cost is confirmed.</t>
  </si>
  <si>
    <t xml:space="preserve">• Once you have Bukhoor #2's actual wholesale cost from your friend, update the yellow cell above (row 8) and every number below recalculates automatically.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</si>
</sst>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0"/>
    <numFmt numFmtId="167" formatCode="#,##0.00;\(#,##0.00\)"/>
    <numFmt numFmtId="168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A1208"/>
      <name val="Arial"/>
      <family val="0"/>
      <charset val="1"/>
    </font>
    <font>
      <i val="true"/>
      <sz val="10"/>
      <color rgb="FF6B5C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.5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4"/>
      <color rgb="FF7A1F2B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i val="true"/>
      <sz val="9"/>
      <color rgb="FFB2222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1208"/>
        <bgColor rgb="FF000000"/>
      </patternFill>
    </fill>
    <fill>
      <patternFill patternType="solid">
        <fgColor rgb="FF7A1F2B"/>
        <bgColor rgb="FF800000"/>
      </patternFill>
    </fill>
    <fill>
      <patternFill patternType="solid">
        <fgColor rgb="FFF4E9C1"/>
        <bgColor rgb="FFE3F2E1"/>
      </patternFill>
    </fill>
    <fill>
      <patternFill patternType="solid">
        <fgColor rgb="FFFFFF00"/>
        <bgColor rgb="FFFFFF00"/>
      </patternFill>
    </fill>
    <fill>
      <patternFill patternType="solid">
        <fgColor rgb="FFE3F2E1"/>
        <bgColor rgb="FFF4E9C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2C2"/>
      </left>
      <right style="thin">
        <color rgb="FFD9D2C2"/>
      </right>
      <top style="thin">
        <color rgb="FFD9D2C2"/>
      </top>
      <bottom style="thin">
        <color rgb="FFD9D2C2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A120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A1F2B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4E9C1"/>
      <rgbColor rgb="FFCCFFFF"/>
      <rgbColor rgb="FF660066"/>
      <rgbColor rgb="FFFF8080"/>
      <rgbColor rgb="FF0066CC"/>
      <rgbColor rgb="FFD9D2C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F2E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C40"/>
      <rgbColor rgb="FF969696"/>
      <rgbColor rgb="FF003366"/>
      <rgbColor rgb="FF339966"/>
      <rgbColor rgb="FF003300"/>
      <rgbColor rgb="FF1A1208"/>
      <rgbColor rgb="FFB2222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3" min="3" style="1" width="30"/>
    <col collapsed="false" customWidth="true" hidden="false" outlineLevel="0" max="4" min="4" style="1" width="34"/>
    <col collapsed="false" customWidth="true" hidden="false" outlineLevel="0" max="6" min="5" style="1" width="44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6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60" hidden="false" customHeight="true" outlineLevel="0" collapsed="false">
      <c r="A5" s="5" t="n">
        <v>1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</row>
    <row r="6" customFormat="false" ht="60" hidden="false" customHeight="true" outlineLevel="0" collapsed="false">
      <c r="A6" s="5" t="n">
        <v>2</v>
      </c>
      <c r="B6" s="6" t="s">
        <v>13</v>
      </c>
      <c r="C6" s="6" t="s">
        <v>14</v>
      </c>
      <c r="D6" s="6" t="s">
        <v>15</v>
      </c>
      <c r="E6" s="6" t="s">
        <v>16</v>
      </c>
      <c r="F6" s="6" t="s">
        <v>17</v>
      </c>
    </row>
    <row r="7" customFormat="false" ht="60" hidden="false" customHeight="true" outlineLevel="0" collapsed="false">
      <c r="A7" s="5" t="n">
        <v>3</v>
      </c>
      <c r="B7" s="6" t="s">
        <v>18</v>
      </c>
      <c r="C7" s="6" t="s">
        <v>19</v>
      </c>
      <c r="D7" s="6" t="s">
        <v>15</v>
      </c>
      <c r="E7" s="6" t="s">
        <v>20</v>
      </c>
      <c r="F7" s="6" t="s">
        <v>21</v>
      </c>
    </row>
    <row r="8" customFormat="false" ht="60" hidden="false" customHeight="true" outlineLevel="0" collapsed="false">
      <c r="A8" s="5" t="n">
        <v>4</v>
      </c>
      <c r="B8" s="6" t="s">
        <v>22</v>
      </c>
      <c r="C8" s="6" t="s">
        <v>23</v>
      </c>
      <c r="D8" s="6" t="s">
        <v>24</v>
      </c>
      <c r="E8" s="6" t="s">
        <v>25</v>
      </c>
      <c r="F8" s="6" t="s">
        <v>26</v>
      </c>
    </row>
    <row r="9" customFormat="false" ht="60" hidden="false" customHeight="true" outlineLevel="0" collapsed="false">
      <c r="A9" s="5" t="n">
        <v>5</v>
      </c>
      <c r="B9" s="6" t="s">
        <v>27</v>
      </c>
      <c r="C9" s="6" t="s">
        <v>28</v>
      </c>
      <c r="D9" s="6" t="s">
        <v>29</v>
      </c>
      <c r="E9" s="6" t="s">
        <v>30</v>
      </c>
      <c r="F9" s="6" t="s">
        <v>31</v>
      </c>
    </row>
    <row r="10" customFormat="false" ht="60" hidden="false" customHeight="true" outlineLevel="0" collapsed="false">
      <c r="A10" s="5" t="n">
        <v>6</v>
      </c>
      <c r="B10" s="6" t="s">
        <v>32</v>
      </c>
      <c r="C10" s="6" t="s">
        <v>33</v>
      </c>
      <c r="D10" s="6" t="s">
        <v>34</v>
      </c>
      <c r="E10" s="6" t="s">
        <v>35</v>
      </c>
      <c r="F10" s="6" t="s">
        <v>36</v>
      </c>
    </row>
    <row r="11" customFormat="false" ht="60" hidden="false" customHeight="true" outlineLevel="0" collapsed="false">
      <c r="A11" s="5" t="n">
        <v>7</v>
      </c>
      <c r="B11" s="6" t="s">
        <v>37</v>
      </c>
      <c r="C11" s="6" t="s">
        <v>38</v>
      </c>
      <c r="D11" s="6" t="s">
        <v>39</v>
      </c>
      <c r="E11" s="6" t="s">
        <v>40</v>
      </c>
      <c r="F11" s="6" t="s">
        <v>41</v>
      </c>
    </row>
    <row r="12" customFormat="false" ht="60" hidden="false" customHeight="true" outlineLevel="0" collapsed="false">
      <c r="A12" s="5" t="n">
        <v>8</v>
      </c>
      <c r="B12" s="6" t="s">
        <v>42</v>
      </c>
      <c r="C12" s="6" t="s">
        <v>43</v>
      </c>
      <c r="D12" s="6" t="s">
        <v>44</v>
      </c>
      <c r="E12" s="6" t="s">
        <v>45</v>
      </c>
      <c r="F12" s="6" t="s">
        <v>46</v>
      </c>
    </row>
    <row r="13" customFormat="false" ht="60" hidden="false" customHeight="true" outlineLevel="0" collapsed="false">
      <c r="A13" s="5" t="n">
        <v>9</v>
      </c>
      <c r="B13" s="6" t="s">
        <v>47</v>
      </c>
      <c r="C13" s="6" t="s">
        <v>48</v>
      </c>
      <c r="D13" s="6" t="s">
        <v>49</v>
      </c>
      <c r="E13" s="6" t="s">
        <v>50</v>
      </c>
      <c r="F13" s="6" t="s">
        <v>51</v>
      </c>
    </row>
    <row r="14" customFormat="false" ht="60" hidden="false" customHeight="true" outlineLevel="0" collapsed="false">
      <c r="A14" s="5" t="n">
        <v>10</v>
      </c>
      <c r="B14" s="6" t="s">
        <v>52</v>
      </c>
      <c r="C14" s="6" t="s">
        <v>53</v>
      </c>
      <c r="D14" s="6" t="s">
        <v>54</v>
      </c>
      <c r="E14" s="6" t="s">
        <v>55</v>
      </c>
      <c r="F14" s="6" t="s">
        <v>56</v>
      </c>
    </row>
    <row r="15" customFormat="false" ht="60" hidden="false" customHeight="true" outlineLevel="0" collapsed="false">
      <c r="A15" s="5" t="n">
        <v>11</v>
      </c>
      <c r="B15" s="6" t="s">
        <v>57</v>
      </c>
      <c r="C15" s="6" t="s">
        <v>58</v>
      </c>
      <c r="D15" s="6" t="s">
        <v>59</v>
      </c>
      <c r="E15" s="6" t="s">
        <v>60</v>
      </c>
      <c r="F15" s="6" t="s">
        <v>61</v>
      </c>
    </row>
    <row r="16" customFormat="false" ht="60" hidden="false" customHeight="true" outlineLevel="0" collapsed="false">
      <c r="A16" s="5" t="n">
        <v>12</v>
      </c>
      <c r="B16" s="6" t="s">
        <v>62</v>
      </c>
      <c r="C16" s="6" t="s">
        <v>63</v>
      </c>
      <c r="D16" s="6" t="s">
        <v>64</v>
      </c>
      <c r="E16" s="6" t="s">
        <v>65</v>
      </c>
      <c r="F16" s="6" t="s">
        <v>66</v>
      </c>
    </row>
    <row r="17" customFormat="false" ht="60" hidden="false" customHeight="true" outlineLevel="0" collapsed="false">
      <c r="A17" s="5" t="n">
        <v>13</v>
      </c>
      <c r="B17" s="6" t="s">
        <v>67</v>
      </c>
      <c r="C17" s="6" t="s">
        <v>68</v>
      </c>
      <c r="D17" s="6" t="s">
        <v>69</v>
      </c>
      <c r="E17" s="6" t="s">
        <v>70</v>
      </c>
      <c r="F17" s="6" t="s">
        <v>71</v>
      </c>
    </row>
    <row r="19" customFormat="false" ht="15" hidden="false" customHeight="true" outlineLevel="0" collapsed="false">
      <c r="A19" s="7" t="s">
        <v>72</v>
      </c>
      <c r="B19" s="8" t="s">
        <v>73</v>
      </c>
      <c r="C19" s="8"/>
      <c r="D19" s="8"/>
      <c r="E19" s="8"/>
      <c r="F19" s="8"/>
    </row>
    <row r="20" customFormat="false" ht="15" hidden="false" customHeight="true" outlineLevel="0" collapsed="false">
      <c r="A20" s="7" t="s">
        <v>74</v>
      </c>
      <c r="B20" s="8" t="s">
        <v>75</v>
      </c>
      <c r="C20" s="8"/>
      <c r="D20" s="8"/>
      <c r="E20" s="8"/>
      <c r="F20" s="8"/>
    </row>
  </sheetData>
  <autoFilter ref="A4:F17"/>
  <mergeCells count="4">
    <mergeCell ref="A1:F1"/>
    <mergeCell ref="A2:F2"/>
    <mergeCell ref="B19:F19"/>
    <mergeCell ref="B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4"/>
    <col collapsed="false" customWidth="true" hidden="false" outlineLevel="0" max="3" min="3" style="1" width="14"/>
    <col collapsed="false" customWidth="true" hidden="false" outlineLevel="0" max="4" min="4" style="1" width="46"/>
    <col collapsed="false" customWidth="true" hidden="false" outlineLevel="0" max="5" min="5" style="1" width="42"/>
    <col collapsed="false" customWidth="true" hidden="false" outlineLevel="0" max="6" min="6" style="1" width="30"/>
    <col collapsed="false" customWidth="true" hidden="false" outlineLevel="0" max="7" min="7" style="1" width="40"/>
  </cols>
  <sheetData>
    <row r="1" customFormat="false" ht="17.25" hidden="false" customHeight="true" outlineLevel="0" collapsed="false">
      <c r="A1" s="9" t="s">
        <v>76</v>
      </c>
      <c r="B1" s="9"/>
      <c r="C1" s="9"/>
      <c r="D1" s="9"/>
      <c r="E1" s="9"/>
      <c r="F1" s="9"/>
      <c r="G1" s="9"/>
    </row>
    <row r="2" customFormat="false" ht="15" hidden="false" customHeight="true" outlineLevel="0" collapsed="false">
      <c r="A2" s="10" t="s">
        <v>77</v>
      </c>
      <c r="B2" s="10"/>
      <c r="C2" s="10"/>
      <c r="D2" s="10"/>
      <c r="E2" s="10"/>
      <c r="F2" s="10"/>
      <c r="G2" s="10"/>
    </row>
    <row r="4" customFormat="false" ht="26.25" hidden="false" customHeight="true" outlineLevel="0" collapsed="false">
      <c r="A4" s="11" t="s">
        <v>2</v>
      </c>
      <c r="B4" s="11" t="s">
        <v>78</v>
      </c>
      <c r="C4" s="11" t="s">
        <v>79</v>
      </c>
      <c r="D4" s="11" t="s">
        <v>80</v>
      </c>
      <c r="E4" s="11" t="s">
        <v>81</v>
      </c>
      <c r="F4" s="11" t="s">
        <v>82</v>
      </c>
      <c r="G4" s="11" t="s">
        <v>83</v>
      </c>
    </row>
    <row r="5" customFormat="false" ht="27.75" hidden="false" customHeight="true" outlineLevel="0" collapsed="false">
      <c r="A5" s="12" t="n">
        <v>1</v>
      </c>
      <c r="B5" s="12" t="s">
        <v>84</v>
      </c>
      <c r="C5" s="13" t="n">
        <v>15</v>
      </c>
      <c r="D5" s="12" t="s">
        <v>85</v>
      </c>
      <c r="E5" s="12" t="s">
        <v>86</v>
      </c>
      <c r="F5" s="12" t="s">
        <v>86</v>
      </c>
      <c r="G5" s="12" t="s">
        <v>87</v>
      </c>
    </row>
    <row r="6" customFormat="false" ht="27.75" hidden="false" customHeight="true" outlineLevel="0" collapsed="false">
      <c r="A6" s="12" t="n">
        <v>2</v>
      </c>
      <c r="B6" s="12" t="s">
        <v>88</v>
      </c>
      <c r="C6" s="13" t="n">
        <v>16</v>
      </c>
      <c r="D6" s="12" t="s">
        <v>85</v>
      </c>
      <c r="E6" s="12" t="s">
        <v>86</v>
      </c>
      <c r="F6" s="12" t="s">
        <v>86</v>
      </c>
      <c r="G6" s="12" t="s">
        <v>89</v>
      </c>
    </row>
    <row r="7" customFormat="false" ht="27.75" hidden="false" customHeight="true" outlineLevel="0" collapsed="false">
      <c r="A7" s="12" t="n">
        <v>3</v>
      </c>
      <c r="B7" s="12" t="s">
        <v>90</v>
      </c>
      <c r="C7" s="13" t="n">
        <v>20</v>
      </c>
      <c r="D7" s="12" t="s">
        <v>85</v>
      </c>
      <c r="E7" s="12" t="s">
        <v>86</v>
      </c>
      <c r="F7" s="12" t="s">
        <v>86</v>
      </c>
      <c r="G7" s="12" t="s">
        <v>89</v>
      </c>
    </row>
    <row r="8" customFormat="false" ht="26.25" hidden="false" customHeight="true" outlineLevel="0" collapsed="false">
      <c r="A8" s="12" t="n">
        <v>4</v>
      </c>
      <c r="B8" s="14" t="s">
        <v>91</v>
      </c>
      <c r="C8" s="13" t="n">
        <v>25</v>
      </c>
      <c r="D8" s="12" t="s">
        <v>85</v>
      </c>
      <c r="E8" s="12" t="s">
        <v>86</v>
      </c>
      <c r="F8" s="12" t="s">
        <v>86</v>
      </c>
      <c r="G8" s="12" t="s">
        <v>89</v>
      </c>
    </row>
    <row r="9" customFormat="false" ht="54.75" hidden="false" customHeight="true" outlineLevel="0" collapsed="false">
      <c r="A9" s="12" t="n">
        <v>5</v>
      </c>
      <c r="B9" s="14" t="s">
        <v>37</v>
      </c>
      <c r="C9" s="13" t="n">
        <v>22</v>
      </c>
      <c r="D9" s="12" t="s">
        <v>92</v>
      </c>
      <c r="E9" s="12" t="s">
        <v>93</v>
      </c>
      <c r="F9" s="12" t="s">
        <v>94</v>
      </c>
      <c r="G9" s="12" t="s">
        <v>95</v>
      </c>
    </row>
    <row r="10" customFormat="false" ht="68.25" hidden="false" customHeight="true" outlineLevel="0" collapsed="false">
      <c r="A10" s="12" t="n">
        <v>6</v>
      </c>
      <c r="B10" s="12" t="s">
        <v>96</v>
      </c>
      <c r="C10" s="13" t="n">
        <v>15</v>
      </c>
      <c r="D10" s="12" t="s">
        <v>97</v>
      </c>
      <c r="E10" s="12" t="s">
        <v>98</v>
      </c>
      <c r="F10" s="12" t="s">
        <v>99</v>
      </c>
      <c r="G10" s="12" t="s">
        <v>100</v>
      </c>
    </row>
    <row r="12" customFormat="false" ht="15" hidden="false" customHeight="true" outlineLevel="0" collapsed="false">
      <c r="A12" s="15" t="s">
        <v>101</v>
      </c>
    </row>
    <row r="13" customFormat="false" ht="39.75" hidden="false" customHeight="true" outlineLevel="0" collapsed="false">
      <c r="A13" s="10" t="s">
        <v>102</v>
      </c>
      <c r="B13" s="10"/>
      <c r="C13" s="10"/>
      <c r="D13" s="10"/>
      <c r="E13" s="10"/>
      <c r="F13" s="10"/>
      <c r="G13" s="10"/>
    </row>
  </sheetData>
  <mergeCells count="3">
    <mergeCell ref="A1:G1"/>
    <mergeCell ref="A2:G2"/>
    <mergeCell ref="A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7" topLeftCell="A1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5" min="2" style="1" width="15"/>
    <col collapsed="false" customWidth="true" hidden="false" outlineLevel="0" max="6" min="6" style="1" width="14"/>
    <col collapsed="false" customWidth="true" hidden="false" outlineLevel="0" max="7" min="7" style="1" width="13"/>
    <col collapsed="false" customWidth="true" hidden="false" outlineLevel="0" max="9" min="8" style="1" width="16"/>
    <col collapsed="false" customWidth="true" hidden="false" outlineLevel="0" max="10" min="10" style="1" width="24"/>
  </cols>
  <sheetData>
    <row r="1" customFormat="false" ht="17.25" hidden="false" customHeight="true" outlineLevel="0" collapsed="false">
      <c r="A1" s="9" t="s">
        <v>103</v>
      </c>
      <c r="B1" s="9"/>
      <c r="C1" s="9"/>
      <c r="D1" s="9"/>
      <c r="E1" s="9"/>
      <c r="F1" s="9"/>
      <c r="G1" s="9"/>
      <c r="H1" s="9"/>
      <c r="I1" s="9"/>
      <c r="J1" s="9"/>
    </row>
    <row r="2" customFormat="false" ht="15" hidden="false" customHeight="true" outlineLevel="0" collapsed="false">
      <c r="A2" s="10" t="s">
        <v>104</v>
      </c>
      <c r="B2" s="10"/>
      <c r="C2" s="10"/>
      <c r="D2" s="10"/>
      <c r="E2" s="10"/>
      <c r="F2" s="10"/>
      <c r="G2" s="10"/>
      <c r="H2" s="10"/>
      <c r="I2" s="10"/>
      <c r="J2" s="10"/>
    </row>
    <row r="4" customFormat="false" ht="15" hidden="false" customHeight="true" outlineLevel="0" collapsed="false">
      <c r="A4" s="15" t="s">
        <v>105</v>
      </c>
    </row>
    <row r="5" customFormat="false" ht="15" hidden="false" customHeight="true" outlineLevel="0" collapsed="false">
      <c r="A5" s="1" t="s">
        <v>106</v>
      </c>
      <c r="B5" s="16" t="n">
        <v>80</v>
      </c>
    </row>
    <row r="6" customFormat="false" ht="15" hidden="false" customHeight="true" outlineLevel="0" collapsed="false">
      <c r="A6" s="1" t="s">
        <v>107</v>
      </c>
      <c r="B6" s="16" t="n">
        <v>20</v>
      </c>
    </row>
    <row r="7" customFormat="false" ht="15" hidden="false" customHeight="true" outlineLevel="0" collapsed="false">
      <c r="A7" s="1" t="s">
        <v>108</v>
      </c>
      <c r="B7" s="16" t="n">
        <v>15</v>
      </c>
    </row>
    <row r="8" customFormat="false" ht="15" hidden="false" customHeight="true" outlineLevel="0" collapsed="false">
      <c r="A8" s="1" t="s">
        <v>109</v>
      </c>
      <c r="B8" s="16" t="n">
        <v>500</v>
      </c>
    </row>
    <row r="9" customFormat="false" ht="15" hidden="false" customHeight="true" outlineLevel="0" collapsed="false">
      <c r="A9" s="1" t="s">
        <v>110</v>
      </c>
      <c r="B9" s="16" t="n">
        <v>22</v>
      </c>
    </row>
    <row r="10" customFormat="false" ht="15" hidden="false" customHeight="true" outlineLevel="0" collapsed="false">
      <c r="A10" s="1" t="s">
        <v>111</v>
      </c>
      <c r="B10" s="16" t="n">
        <v>18</v>
      </c>
    </row>
    <row r="11" customFormat="false" ht="15" hidden="false" customHeight="true" outlineLevel="0" collapsed="false">
      <c r="A11" s="1" t="s">
        <v>112</v>
      </c>
      <c r="B11" s="16" t="n">
        <v>15</v>
      </c>
    </row>
    <row r="12" customFormat="false" ht="15" hidden="false" customHeight="true" outlineLevel="0" collapsed="false">
      <c r="A12" s="1" t="s">
        <v>113</v>
      </c>
      <c r="B12" s="16" t="n">
        <v>16</v>
      </c>
    </row>
    <row r="13" customFormat="false" ht="15" hidden="false" customHeight="true" outlineLevel="0" collapsed="false">
      <c r="A13" s="1" t="s">
        <v>114</v>
      </c>
      <c r="B13" s="16" t="n">
        <v>20</v>
      </c>
    </row>
    <row r="14" customFormat="false" ht="15" hidden="false" customHeight="true" outlineLevel="0" collapsed="false">
      <c r="A14" s="1" t="s">
        <v>115</v>
      </c>
      <c r="B14" s="16" t="n">
        <v>25</v>
      </c>
    </row>
    <row r="17" customFormat="false" ht="45.75" hidden="false" customHeight="true" outlineLevel="0" collapsed="false">
      <c r="A17" s="11" t="s">
        <v>116</v>
      </c>
      <c r="B17" s="11" t="s">
        <v>117</v>
      </c>
      <c r="C17" s="11" t="s">
        <v>118</v>
      </c>
      <c r="D17" s="11" t="s">
        <v>119</v>
      </c>
      <c r="E17" s="11" t="s">
        <v>120</v>
      </c>
      <c r="F17" s="11" t="s">
        <v>121</v>
      </c>
      <c r="G17" s="11" t="s">
        <v>122</v>
      </c>
      <c r="H17" s="11" t="s">
        <v>123</v>
      </c>
      <c r="I17" s="11" t="s">
        <v>124</v>
      </c>
      <c r="J17" s="11" t="s">
        <v>125</v>
      </c>
    </row>
    <row r="18" customFormat="false" ht="15" hidden="false" customHeight="true" outlineLevel="0" collapsed="false">
      <c r="A18" s="17" t="n">
        <v>10</v>
      </c>
      <c r="B18" s="18" t="n">
        <f aca="false">A18*$B$11</f>
        <v>150</v>
      </c>
      <c r="C18" s="18" t="n">
        <f aca="false">A18*$B$12</f>
        <v>160</v>
      </c>
      <c r="D18" s="18" t="n">
        <f aca="false">A18*$B$13</f>
        <v>200</v>
      </c>
      <c r="E18" s="18" t="n">
        <f aca="false">A18*$B$14</f>
        <v>250</v>
      </c>
      <c r="F18" s="18" t="n">
        <f aca="false">IF((A18/30)&lt;=15,A18*$B$9,A18*$B$10)</f>
        <v>220</v>
      </c>
      <c r="G18" s="18" t="n">
        <f aca="false">MAX(A18*$B$7,$B$8)</f>
        <v>500</v>
      </c>
      <c r="H18" s="19" t="str">
        <f aca="false">INDEX({"Quote A","Quote B","Quote C","Quote D","Quiqup","IQF"},MATCH(MIN(B18:G18),B18:G18,0))</f>
        <v>Quote A</v>
      </c>
      <c r="I18" s="20" t="n">
        <f aca="false">MIN(B18:G18)/A18</f>
        <v>15</v>
      </c>
      <c r="J18" s="21" t="n">
        <f aca="false">$B$6-I18</f>
        <v>5</v>
      </c>
    </row>
    <row r="19" customFormat="false" ht="15" hidden="false" customHeight="true" outlineLevel="0" collapsed="false">
      <c r="A19" s="17" t="n">
        <v>20</v>
      </c>
      <c r="B19" s="18" t="n">
        <f aca="false">A19*$B$11</f>
        <v>300</v>
      </c>
      <c r="C19" s="18" t="n">
        <f aca="false">A19*$B$12</f>
        <v>320</v>
      </c>
      <c r="D19" s="18" t="n">
        <f aca="false">A19*$B$13</f>
        <v>400</v>
      </c>
      <c r="E19" s="18" t="n">
        <f aca="false">A19*$B$14</f>
        <v>500</v>
      </c>
      <c r="F19" s="18" t="n">
        <f aca="false">IF((A19/30)&lt;=15,A19*$B$9,A19*$B$10)</f>
        <v>440</v>
      </c>
      <c r="G19" s="18" t="n">
        <f aca="false">MAX(A19*$B$7,$B$8)</f>
        <v>500</v>
      </c>
      <c r="H19" s="19" t="str">
        <f aca="false">INDEX({"Quote A","Quote B","Quote C","Quote D","Quiqup","IQF"},MATCH(MIN(B19:G19),B19:G19,0))</f>
        <v>Quote A</v>
      </c>
      <c r="I19" s="20" t="n">
        <f aca="false">MIN(B19:G19)/A19</f>
        <v>15</v>
      </c>
      <c r="J19" s="21" t="n">
        <f aca="false">$B$6-I19</f>
        <v>5</v>
      </c>
    </row>
    <row r="20" customFormat="false" ht="15" hidden="false" customHeight="true" outlineLevel="0" collapsed="false">
      <c r="A20" s="17" t="n">
        <v>30</v>
      </c>
      <c r="B20" s="18" t="n">
        <f aca="false">A20*$B$11</f>
        <v>450</v>
      </c>
      <c r="C20" s="18" t="n">
        <f aca="false">A20*$B$12</f>
        <v>480</v>
      </c>
      <c r="D20" s="18" t="n">
        <f aca="false">A20*$B$13</f>
        <v>600</v>
      </c>
      <c r="E20" s="18" t="n">
        <f aca="false">A20*$B$14</f>
        <v>750</v>
      </c>
      <c r="F20" s="18" t="n">
        <f aca="false">IF((A20/30)&lt;=15,A20*$B$9,A20*$B$10)</f>
        <v>660</v>
      </c>
      <c r="G20" s="18" t="n">
        <f aca="false">MAX(A20*$B$7,$B$8)</f>
        <v>500</v>
      </c>
      <c r="H20" s="19" t="str">
        <f aca="false">INDEX({"Quote A","Quote B","Quote C","Quote D","Quiqup","IQF"},MATCH(MIN(B20:G20),B20:G20,0))</f>
        <v>Quote A</v>
      </c>
      <c r="I20" s="20" t="n">
        <f aca="false">MIN(B20:G20)/A20</f>
        <v>15</v>
      </c>
      <c r="J20" s="21" t="n">
        <f aca="false">$B$6-I20</f>
        <v>5</v>
      </c>
    </row>
    <row r="21" customFormat="false" ht="15" hidden="false" customHeight="true" outlineLevel="0" collapsed="false">
      <c r="A21" s="17" t="n">
        <v>40</v>
      </c>
      <c r="B21" s="18" t="n">
        <f aca="false">A21*$B$11</f>
        <v>600</v>
      </c>
      <c r="C21" s="18" t="n">
        <f aca="false">A21*$B$12</f>
        <v>640</v>
      </c>
      <c r="D21" s="18" t="n">
        <f aca="false">A21*$B$13</f>
        <v>800</v>
      </c>
      <c r="E21" s="18" t="n">
        <f aca="false">A21*$B$14</f>
        <v>1000</v>
      </c>
      <c r="F21" s="18" t="n">
        <f aca="false">IF((A21/30)&lt;=15,A21*$B$9,A21*$B$10)</f>
        <v>880</v>
      </c>
      <c r="G21" s="18" t="n">
        <f aca="false">MAX(A21*$B$7,$B$8)</f>
        <v>600</v>
      </c>
      <c r="H21" s="19" t="str">
        <f aca="false">INDEX({"Quote A","Quote B","Quote C","Quote D","Quiqup","IQF"},MATCH(MIN(B21:G21),B21:G21,0))</f>
        <v>Quote A</v>
      </c>
      <c r="I21" s="20" t="n">
        <f aca="false">MIN(B21:G21)/A21</f>
        <v>15</v>
      </c>
      <c r="J21" s="21" t="n">
        <f aca="false">$B$6-I21</f>
        <v>5</v>
      </c>
    </row>
    <row r="22" customFormat="false" ht="15" hidden="false" customHeight="true" outlineLevel="0" collapsed="false">
      <c r="A22" s="17" t="n">
        <v>50</v>
      </c>
      <c r="B22" s="18" t="n">
        <f aca="false">A22*$B$11</f>
        <v>750</v>
      </c>
      <c r="C22" s="18" t="n">
        <f aca="false">A22*$B$12</f>
        <v>800</v>
      </c>
      <c r="D22" s="18" t="n">
        <f aca="false">A22*$B$13</f>
        <v>1000</v>
      </c>
      <c r="E22" s="18" t="n">
        <f aca="false">A22*$B$14</f>
        <v>1250</v>
      </c>
      <c r="F22" s="18" t="n">
        <f aca="false">IF((A22/30)&lt;=15,A22*$B$9,A22*$B$10)</f>
        <v>1100</v>
      </c>
      <c r="G22" s="18" t="n">
        <f aca="false">MAX(A22*$B$7,$B$8)</f>
        <v>750</v>
      </c>
      <c r="H22" s="19" t="str">
        <f aca="false">INDEX({"Quote A","Quote B","Quote C","Quote D","Quiqup","IQF"},MATCH(MIN(B22:G22),B22:G22,0))</f>
        <v>Quote A</v>
      </c>
      <c r="I22" s="20" t="n">
        <f aca="false">MIN(B22:G22)/A22</f>
        <v>15</v>
      </c>
      <c r="J22" s="21" t="n">
        <f aca="false">$B$6-I22</f>
        <v>5</v>
      </c>
    </row>
    <row r="23" customFormat="false" ht="15" hidden="false" customHeight="true" outlineLevel="0" collapsed="false">
      <c r="A23" s="17" t="n">
        <v>75</v>
      </c>
      <c r="B23" s="18" t="n">
        <f aca="false">A23*$B$11</f>
        <v>1125</v>
      </c>
      <c r="C23" s="18" t="n">
        <f aca="false">A23*$B$12</f>
        <v>1200</v>
      </c>
      <c r="D23" s="18" t="n">
        <f aca="false">A23*$B$13</f>
        <v>1500</v>
      </c>
      <c r="E23" s="18" t="n">
        <f aca="false">A23*$B$14</f>
        <v>1875</v>
      </c>
      <c r="F23" s="18" t="n">
        <f aca="false">IF((A23/30)&lt;=15,A23*$B$9,A23*$B$10)</f>
        <v>1650</v>
      </c>
      <c r="G23" s="18" t="n">
        <f aca="false">MAX(A23*$B$7,$B$8)</f>
        <v>1125</v>
      </c>
      <c r="H23" s="19" t="str">
        <f aca="false">INDEX({"Quote A","Quote B","Quote C","Quote D","Quiqup","IQF"},MATCH(MIN(B23:G23),B23:G23,0))</f>
        <v>Quote A</v>
      </c>
      <c r="I23" s="20" t="n">
        <f aca="false">MIN(B23:G23)/A23</f>
        <v>15</v>
      </c>
      <c r="J23" s="21" t="n">
        <f aca="false">$B$6-I23</f>
        <v>5</v>
      </c>
    </row>
    <row r="24" customFormat="false" ht="15" hidden="false" customHeight="true" outlineLevel="0" collapsed="false">
      <c r="A24" s="17" t="n">
        <v>100</v>
      </c>
      <c r="B24" s="18" t="n">
        <f aca="false">A24*$B$11</f>
        <v>1500</v>
      </c>
      <c r="C24" s="18" t="n">
        <f aca="false">A24*$B$12</f>
        <v>1600</v>
      </c>
      <c r="D24" s="18" t="n">
        <f aca="false">A24*$B$13</f>
        <v>2000</v>
      </c>
      <c r="E24" s="18" t="n">
        <f aca="false">A24*$B$14</f>
        <v>2500</v>
      </c>
      <c r="F24" s="18" t="n">
        <f aca="false">IF((A24/30)&lt;=15,A24*$B$9,A24*$B$10)</f>
        <v>2200</v>
      </c>
      <c r="G24" s="18" t="n">
        <f aca="false">MAX(A24*$B$7,$B$8)</f>
        <v>1500</v>
      </c>
      <c r="H24" s="19" t="str">
        <f aca="false">INDEX({"Quote A","Quote B","Quote C","Quote D","Quiqup","IQF"},MATCH(MIN(B24:G24),B24:G24,0))</f>
        <v>Quote A</v>
      </c>
      <c r="I24" s="20" t="n">
        <f aca="false">MIN(B24:G24)/A24</f>
        <v>15</v>
      </c>
      <c r="J24" s="21" t="n">
        <f aca="false">$B$6-I24</f>
        <v>5</v>
      </c>
    </row>
    <row r="25" customFormat="false" ht="15" hidden="false" customHeight="true" outlineLevel="0" collapsed="false">
      <c r="A25" s="17" t="n">
        <v>150</v>
      </c>
      <c r="B25" s="18" t="n">
        <f aca="false">A25*$B$11</f>
        <v>2250</v>
      </c>
      <c r="C25" s="18" t="n">
        <f aca="false">A25*$B$12</f>
        <v>2400</v>
      </c>
      <c r="D25" s="18" t="n">
        <f aca="false">A25*$B$13</f>
        <v>3000</v>
      </c>
      <c r="E25" s="18" t="n">
        <f aca="false">A25*$B$14</f>
        <v>3750</v>
      </c>
      <c r="F25" s="18" t="n">
        <f aca="false">IF((A25/30)&lt;=15,A25*$B$9,A25*$B$10)</f>
        <v>3300</v>
      </c>
      <c r="G25" s="18" t="n">
        <f aca="false">MAX(A25*$B$7,$B$8)</f>
        <v>2250</v>
      </c>
      <c r="H25" s="19" t="str">
        <f aca="false">INDEX({"Quote A","Quote B","Quote C","Quote D","Quiqup","IQF"},MATCH(MIN(B25:G25),B25:G25,0))</f>
        <v>Quote A</v>
      </c>
      <c r="I25" s="20" t="n">
        <f aca="false">MIN(B25:G25)/A25</f>
        <v>15</v>
      </c>
      <c r="J25" s="21" t="n">
        <f aca="false">$B$6-I25</f>
        <v>5</v>
      </c>
    </row>
    <row r="26" customFormat="false" ht="15" hidden="false" customHeight="true" outlineLevel="0" collapsed="false">
      <c r="A26" s="17" t="n">
        <v>200</v>
      </c>
      <c r="B26" s="18" t="n">
        <f aca="false">A26*$B$11</f>
        <v>3000</v>
      </c>
      <c r="C26" s="18" t="n">
        <f aca="false">A26*$B$12</f>
        <v>3200</v>
      </c>
      <c r="D26" s="18" t="n">
        <f aca="false">A26*$B$13</f>
        <v>4000</v>
      </c>
      <c r="E26" s="18" t="n">
        <f aca="false">A26*$B$14</f>
        <v>5000</v>
      </c>
      <c r="F26" s="18" t="n">
        <f aca="false">IF((A26/30)&lt;=15,A26*$B$9,A26*$B$10)</f>
        <v>4400</v>
      </c>
      <c r="G26" s="18" t="n">
        <f aca="false">MAX(A26*$B$7,$B$8)</f>
        <v>3000</v>
      </c>
      <c r="H26" s="19" t="str">
        <f aca="false">INDEX({"Quote A","Quote B","Quote C","Quote D","Quiqup","IQF"},MATCH(MIN(B26:G26),B26:G26,0))</f>
        <v>Quote A</v>
      </c>
      <c r="I26" s="20" t="n">
        <f aca="false">MIN(B26:G26)/A26</f>
        <v>15</v>
      </c>
      <c r="J26" s="21" t="n">
        <f aca="false">$B$6-I26</f>
        <v>5</v>
      </c>
    </row>
    <row r="27" customFormat="false" ht="15" hidden="false" customHeight="true" outlineLevel="0" collapsed="false">
      <c r="A27" s="17" t="n">
        <v>300</v>
      </c>
      <c r="B27" s="18" t="n">
        <f aca="false">A27*$B$11</f>
        <v>4500</v>
      </c>
      <c r="C27" s="18" t="n">
        <f aca="false">A27*$B$12</f>
        <v>4800</v>
      </c>
      <c r="D27" s="18" t="n">
        <f aca="false">A27*$B$13</f>
        <v>6000</v>
      </c>
      <c r="E27" s="18" t="n">
        <f aca="false">A27*$B$14</f>
        <v>7500</v>
      </c>
      <c r="F27" s="18" t="n">
        <f aca="false">IF((A27/30)&lt;=15,A27*$B$9,A27*$B$10)</f>
        <v>6600</v>
      </c>
      <c r="G27" s="18" t="n">
        <f aca="false">MAX(A27*$B$7,$B$8)</f>
        <v>4500</v>
      </c>
      <c r="H27" s="19" t="str">
        <f aca="false">INDEX({"Quote A","Quote B","Quote C","Quote D","Quiqup","IQF"},MATCH(MIN(B27:G27),B27:G27,0))</f>
        <v>Quote A</v>
      </c>
      <c r="I27" s="20" t="n">
        <f aca="false">MIN(B27:G27)/A27</f>
        <v>15</v>
      </c>
      <c r="J27" s="21" t="n">
        <f aca="false">$B$6-I27</f>
        <v>5</v>
      </c>
    </row>
    <row r="29" customFormat="false" ht="15" hidden="false" customHeight="true" outlineLevel="0" collapsed="false">
      <c r="A29" s="15" t="s">
        <v>126</v>
      </c>
    </row>
    <row r="30" customFormat="false" ht="27.75" hidden="false" customHeight="true" outlineLevel="0" collapsed="false">
      <c r="A30" s="10" t="s">
        <v>127</v>
      </c>
      <c r="B30" s="10"/>
      <c r="C30" s="10"/>
      <c r="D30" s="10"/>
      <c r="E30" s="10"/>
      <c r="F30" s="10"/>
      <c r="G30" s="10"/>
      <c r="H30" s="10"/>
      <c r="I30" s="10"/>
      <c r="J30" s="10"/>
    </row>
    <row r="31" customFormat="false" ht="27.75" hidden="false" customHeight="true" outlineLevel="0" collapsed="false">
      <c r="A31" s="10" t="s">
        <v>128</v>
      </c>
      <c r="B31" s="10"/>
      <c r="C31" s="10"/>
      <c r="D31" s="10"/>
      <c r="E31" s="10"/>
      <c r="F31" s="10"/>
      <c r="G31" s="10"/>
      <c r="H31" s="10"/>
      <c r="I31" s="10"/>
      <c r="J31" s="10"/>
    </row>
    <row r="32" customFormat="false" ht="27.75" hidden="false" customHeight="true" outlineLevel="0" collapsed="false">
      <c r="A32" s="10" t="s">
        <v>129</v>
      </c>
      <c r="B32" s="10"/>
      <c r="C32" s="10"/>
      <c r="D32" s="10"/>
      <c r="E32" s="10"/>
      <c r="F32" s="10"/>
      <c r="G32" s="10"/>
      <c r="H32" s="10"/>
      <c r="I32" s="10"/>
      <c r="J32" s="10"/>
    </row>
    <row r="33" customFormat="false" ht="27.75" hidden="false" customHeight="true" outlineLevel="0" collapsed="false">
      <c r="A33" s="10" t="s">
        <v>130</v>
      </c>
      <c r="B33" s="10"/>
      <c r="C33" s="10"/>
      <c r="D33" s="10"/>
      <c r="E33" s="10"/>
      <c r="F33" s="10"/>
      <c r="G33" s="10"/>
      <c r="H33" s="10"/>
      <c r="I33" s="10"/>
      <c r="J33" s="10"/>
    </row>
    <row r="34" customFormat="false" ht="27.75" hidden="false" customHeight="true" outlineLevel="0" collapsed="false">
      <c r="A34" s="10" t="s">
        <v>131</v>
      </c>
      <c r="B34" s="10"/>
      <c r="C34" s="10"/>
      <c r="D34" s="10"/>
      <c r="E34" s="10"/>
      <c r="F34" s="10"/>
      <c r="G34" s="10"/>
      <c r="H34" s="10"/>
      <c r="I34" s="10"/>
      <c r="J34" s="10"/>
    </row>
  </sheetData>
  <mergeCells count="7">
    <mergeCell ref="A1:J1"/>
    <mergeCell ref="A2:J2"/>
    <mergeCell ref="A30:J30"/>
    <mergeCell ref="A31:J31"/>
    <mergeCell ref="A32:J32"/>
    <mergeCell ref="A33:J33"/>
    <mergeCell ref="A34:J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5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6" min="5" style="1" width="20"/>
    <col collapsed="false" customWidth="true" hidden="false" outlineLevel="0" max="7" min="7" style="1" width="30"/>
    <col collapsed="false" customWidth="true" hidden="false" outlineLevel="0" max="8" min="8" style="1" width="20"/>
  </cols>
  <sheetData>
    <row r="1" customFormat="false" ht="17.25" hidden="false" customHeight="true" outlineLevel="0" collapsed="false">
      <c r="A1" s="9" t="s">
        <v>132</v>
      </c>
      <c r="B1" s="9"/>
      <c r="C1" s="9"/>
      <c r="D1" s="9"/>
      <c r="E1" s="9"/>
      <c r="F1" s="9"/>
      <c r="G1" s="9"/>
      <c r="H1" s="9"/>
    </row>
    <row r="2" customFormat="false" ht="15" hidden="false" customHeight="true" outlineLevel="0" collapsed="false">
      <c r="A2" s="10" t="s">
        <v>133</v>
      </c>
      <c r="B2" s="10"/>
      <c r="C2" s="10"/>
      <c r="D2" s="10"/>
      <c r="E2" s="10"/>
      <c r="F2" s="10"/>
      <c r="G2" s="10"/>
      <c r="H2" s="10"/>
    </row>
    <row r="4" customFormat="false" ht="15" hidden="false" customHeight="true" outlineLevel="0" collapsed="false">
      <c r="A4" s="15" t="s">
        <v>105</v>
      </c>
    </row>
    <row r="5" customFormat="false" ht="15" hidden="false" customHeight="true" outlineLevel="0" collapsed="false">
      <c r="A5" s="1" t="s">
        <v>134</v>
      </c>
      <c r="B5" s="22" t="n">
        <v>15</v>
      </c>
    </row>
    <row r="6" customFormat="false" ht="15" hidden="false" customHeight="true" outlineLevel="0" collapsed="false">
      <c r="A6" s="1" t="s">
        <v>135</v>
      </c>
      <c r="B6" s="22" t="n">
        <v>500</v>
      </c>
    </row>
    <row r="7" customFormat="false" ht="15" hidden="false" customHeight="true" outlineLevel="0" collapsed="false">
      <c r="A7" s="1" t="s">
        <v>136</v>
      </c>
      <c r="B7" s="22" t="n">
        <v>20</v>
      </c>
    </row>
    <row r="8" customFormat="false" ht="15" hidden="false" customHeight="true" outlineLevel="0" collapsed="false">
      <c r="A8" s="1" t="s">
        <v>137</v>
      </c>
      <c r="B8" s="22" t="n">
        <v>20</v>
      </c>
    </row>
    <row r="9" customFormat="false" ht="15" hidden="false" customHeight="true" outlineLevel="0" collapsed="false">
      <c r="A9" s="1" t="s">
        <v>138</v>
      </c>
      <c r="B9" s="22" t="n">
        <v>3.32</v>
      </c>
    </row>
    <row r="12" customFormat="false" ht="45.75" hidden="false" customHeight="true" outlineLevel="0" collapsed="false">
      <c r="A12" s="11" t="s">
        <v>139</v>
      </c>
      <c r="B12" s="11" t="s">
        <v>122</v>
      </c>
      <c r="C12" s="11" t="s">
        <v>140</v>
      </c>
      <c r="D12" s="11" t="s">
        <v>141</v>
      </c>
      <c r="E12" s="11" t="s">
        <v>142</v>
      </c>
      <c r="F12" s="11" t="s">
        <v>143</v>
      </c>
      <c r="G12" s="11" t="s">
        <v>144</v>
      </c>
      <c r="H12" s="11" t="s">
        <v>145</v>
      </c>
    </row>
    <row r="13" customFormat="false" ht="15" hidden="false" customHeight="true" outlineLevel="0" collapsed="false">
      <c r="A13" s="17" t="n">
        <v>5</v>
      </c>
      <c r="B13" s="20" t="n">
        <f aca="false">MAX(A13*$B$5,$B$6)</f>
        <v>500</v>
      </c>
      <c r="C13" s="20" t="n">
        <f aca="false">A13*$B$7</f>
        <v>100</v>
      </c>
      <c r="D13" s="20" t="n">
        <f aca="false">C13-B13</f>
        <v>-400</v>
      </c>
      <c r="E13" s="20" t="n">
        <f aca="false">D13/A13</f>
        <v>-80</v>
      </c>
      <c r="F13" s="20" t="n">
        <f aca="false">$B$8</f>
        <v>20</v>
      </c>
      <c r="G13" s="20" t="n">
        <f aca="false">E13+F13-$B$9</f>
        <v>-63.32</v>
      </c>
      <c r="H13" s="20" t="n">
        <f aca="false">G13*A13</f>
        <v>-316.6</v>
      </c>
    </row>
    <row r="14" customFormat="false" ht="15" hidden="false" customHeight="true" outlineLevel="0" collapsed="false">
      <c r="A14" s="17" t="n">
        <v>10</v>
      </c>
      <c r="B14" s="20" t="n">
        <f aca="false">MAX(A14*$B$5,$B$6)</f>
        <v>500</v>
      </c>
      <c r="C14" s="20" t="n">
        <f aca="false">A14*$B$7</f>
        <v>200</v>
      </c>
      <c r="D14" s="20" t="n">
        <f aca="false">C14-B14</f>
        <v>-300</v>
      </c>
      <c r="E14" s="20" t="n">
        <f aca="false">D14/A14</f>
        <v>-30</v>
      </c>
      <c r="F14" s="20" t="n">
        <f aca="false">$B$8</f>
        <v>20</v>
      </c>
      <c r="G14" s="20" t="n">
        <f aca="false">E14+F14-$B$9</f>
        <v>-13.32</v>
      </c>
      <c r="H14" s="20" t="n">
        <f aca="false">G14*A14</f>
        <v>-133.2</v>
      </c>
    </row>
    <row r="15" customFormat="false" ht="15" hidden="false" customHeight="true" outlineLevel="0" collapsed="false">
      <c r="A15" s="17" t="n">
        <v>15</v>
      </c>
      <c r="B15" s="20" t="n">
        <f aca="false">MAX(A15*$B$5,$B$6)</f>
        <v>500</v>
      </c>
      <c r="C15" s="20" t="n">
        <f aca="false">A15*$B$7</f>
        <v>300</v>
      </c>
      <c r="D15" s="20" t="n">
        <f aca="false">C15-B15</f>
        <v>-200</v>
      </c>
      <c r="E15" s="20" t="n">
        <f aca="false">D15/A15</f>
        <v>-13.3333333333333</v>
      </c>
      <c r="F15" s="20" t="n">
        <f aca="false">$B$8</f>
        <v>20</v>
      </c>
      <c r="G15" s="20" t="n">
        <f aca="false">E15+F15-$B$9</f>
        <v>3.34666666666667</v>
      </c>
      <c r="H15" s="20" t="n">
        <f aca="false">G15*A15</f>
        <v>50.2</v>
      </c>
    </row>
    <row r="16" customFormat="false" ht="15" hidden="false" customHeight="true" outlineLevel="0" collapsed="false">
      <c r="A16" s="17" t="n">
        <v>20</v>
      </c>
      <c r="B16" s="20" t="n">
        <f aca="false">MAX(A16*$B$5,$B$6)</f>
        <v>500</v>
      </c>
      <c r="C16" s="20" t="n">
        <f aca="false">A16*$B$7</f>
        <v>400</v>
      </c>
      <c r="D16" s="20" t="n">
        <f aca="false">C16-B16</f>
        <v>-100</v>
      </c>
      <c r="E16" s="20" t="n">
        <f aca="false">D16/A16</f>
        <v>-5</v>
      </c>
      <c r="F16" s="20" t="n">
        <f aca="false">$B$8</f>
        <v>20</v>
      </c>
      <c r="G16" s="20" t="n">
        <f aca="false">E16+F16-$B$9</f>
        <v>11.68</v>
      </c>
      <c r="H16" s="20" t="n">
        <f aca="false">G16*A16</f>
        <v>233.6</v>
      </c>
    </row>
    <row r="17" customFormat="false" ht="15" hidden="false" customHeight="true" outlineLevel="0" collapsed="false">
      <c r="A17" s="17" t="n">
        <v>25</v>
      </c>
      <c r="B17" s="20" t="n">
        <f aca="false">MAX(A17*$B$5,$B$6)</f>
        <v>500</v>
      </c>
      <c r="C17" s="20" t="n">
        <f aca="false">A17*$B$7</f>
        <v>500</v>
      </c>
      <c r="D17" s="20" t="n">
        <f aca="false">C17-B17</f>
        <v>0</v>
      </c>
      <c r="E17" s="20" t="n">
        <f aca="false">D17/A17</f>
        <v>0</v>
      </c>
      <c r="F17" s="20" t="n">
        <f aca="false">$B$8</f>
        <v>20</v>
      </c>
      <c r="G17" s="20" t="n">
        <f aca="false">E17+F17-$B$9</f>
        <v>16.68</v>
      </c>
      <c r="H17" s="20" t="n">
        <f aca="false">G17*A17</f>
        <v>417</v>
      </c>
    </row>
    <row r="18" customFormat="false" ht="15" hidden="false" customHeight="true" outlineLevel="0" collapsed="false">
      <c r="A18" s="17" t="n">
        <v>30</v>
      </c>
      <c r="B18" s="20" t="n">
        <f aca="false">MAX(A18*$B$5,$B$6)</f>
        <v>500</v>
      </c>
      <c r="C18" s="20" t="n">
        <f aca="false">A18*$B$7</f>
        <v>600</v>
      </c>
      <c r="D18" s="20" t="n">
        <f aca="false">C18-B18</f>
        <v>100</v>
      </c>
      <c r="E18" s="20" t="n">
        <f aca="false">D18/A18</f>
        <v>3.33333333333333</v>
      </c>
      <c r="F18" s="20" t="n">
        <f aca="false">$B$8</f>
        <v>20</v>
      </c>
      <c r="G18" s="20" t="n">
        <f aca="false">E18+F18-$B$9</f>
        <v>20.0133333333333</v>
      </c>
      <c r="H18" s="20" t="n">
        <f aca="false">G18*A18</f>
        <v>600.4</v>
      </c>
    </row>
    <row r="19" customFormat="false" ht="15" hidden="false" customHeight="true" outlineLevel="0" collapsed="false">
      <c r="A19" s="17" t="n">
        <v>34</v>
      </c>
      <c r="B19" s="20" t="n">
        <f aca="false">MAX(A19*$B$5,$B$6)</f>
        <v>510</v>
      </c>
      <c r="C19" s="20" t="n">
        <f aca="false">A19*$B$7</f>
        <v>680</v>
      </c>
      <c r="D19" s="20" t="n">
        <f aca="false">C19-B19</f>
        <v>170</v>
      </c>
      <c r="E19" s="20" t="n">
        <f aca="false">D19/A19</f>
        <v>5</v>
      </c>
      <c r="F19" s="20" t="n">
        <f aca="false">$B$8</f>
        <v>20</v>
      </c>
      <c r="G19" s="20" t="n">
        <f aca="false">E19+F19-$B$9</f>
        <v>21.68</v>
      </c>
      <c r="H19" s="20" t="n">
        <f aca="false">G19*A19</f>
        <v>737.12</v>
      </c>
    </row>
    <row r="20" customFormat="false" ht="15" hidden="false" customHeight="true" outlineLevel="0" collapsed="false">
      <c r="A20" s="17" t="n">
        <v>40</v>
      </c>
      <c r="B20" s="20" t="n">
        <f aca="false">MAX(A20*$B$5,$B$6)</f>
        <v>600</v>
      </c>
      <c r="C20" s="20" t="n">
        <f aca="false">A20*$B$7</f>
        <v>800</v>
      </c>
      <c r="D20" s="20" t="n">
        <f aca="false">C20-B20</f>
        <v>200</v>
      </c>
      <c r="E20" s="20" t="n">
        <f aca="false">D20/A20</f>
        <v>5</v>
      </c>
      <c r="F20" s="20" t="n">
        <f aca="false">$B$8</f>
        <v>20</v>
      </c>
      <c r="G20" s="20" t="n">
        <f aca="false">E20+F20-$B$9</f>
        <v>21.68</v>
      </c>
      <c r="H20" s="20" t="n">
        <f aca="false">G20*A20</f>
        <v>867.2</v>
      </c>
    </row>
    <row r="21" customFormat="false" ht="15" hidden="false" customHeight="true" outlineLevel="0" collapsed="false">
      <c r="A21" s="17" t="n">
        <v>50</v>
      </c>
      <c r="B21" s="20" t="n">
        <f aca="false">MAX(A21*$B$5,$B$6)</f>
        <v>750</v>
      </c>
      <c r="C21" s="20" t="n">
        <f aca="false">A21*$B$7</f>
        <v>1000</v>
      </c>
      <c r="D21" s="20" t="n">
        <f aca="false">C21-B21</f>
        <v>250</v>
      </c>
      <c r="E21" s="20" t="n">
        <f aca="false">D21/A21</f>
        <v>5</v>
      </c>
      <c r="F21" s="20" t="n">
        <f aca="false">$B$8</f>
        <v>20</v>
      </c>
      <c r="G21" s="20" t="n">
        <f aca="false">E21+F21-$B$9</f>
        <v>21.68</v>
      </c>
      <c r="H21" s="20" t="n">
        <f aca="false">G21*A21</f>
        <v>1084</v>
      </c>
    </row>
    <row r="22" customFormat="false" ht="15" hidden="false" customHeight="true" outlineLevel="0" collapsed="false">
      <c r="A22" s="17" t="n">
        <v>75</v>
      </c>
      <c r="B22" s="20" t="n">
        <f aca="false">MAX(A22*$B$5,$B$6)</f>
        <v>1125</v>
      </c>
      <c r="C22" s="20" t="n">
        <f aca="false">A22*$B$7</f>
        <v>1500</v>
      </c>
      <c r="D22" s="20" t="n">
        <f aca="false">C22-B22</f>
        <v>375</v>
      </c>
      <c r="E22" s="20" t="n">
        <f aca="false">D22/A22</f>
        <v>5</v>
      </c>
      <c r="F22" s="20" t="n">
        <f aca="false">$B$8</f>
        <v>20</v>
      </c>
      <c r="G22" s="20" t="n">
        <f aca="false">E22+F22-$B$9</f>
        <v>21.68</v>
      </c>
      <c r="H22" s="20" t="n">
        <f aca="false">G22*A22</f>
        <v>1626</v>
      </c>
    </row>
    <row r="23" customFormat="false" ht="15" hidden="false" customHeight="true" outlineLevel="0" collapsed="false">
      <c r="A23" s="17" t="n">
        <v>100</v>
      </c>
      <c r="B23" s="20" t="n">
        <f aca="false">MAX(A23*$B$5,$B$6)</f>
        <v>1500</v>
      </c>
      <c r="C23" s="20" t="n">
        <f aca="false">A23*$B$7</f>
        <v>2000</v>
      </c>
      <c r="D23" s="20" t="n">
        <f aca="false">C23-B23</f>
        <v>500</v>
      </c>
      <c r="E23" s="20" t="n">
        <f aca="false">D23/A23</f>
        <v>5</v>
      </c>
      <c r="F23" s="20" t="n">
        <f aca="false">$B$8</f>
        <v>20</v>
      </c>
      <c r="G23" s="20" t="n">
        <f aca="false">E23+F23-$B$9</f>
        <v>21.68</v>
      </c>
      <c r="H23" s="20" t="n">
        <f aca="false">G23*A23</f>
        <v>2168</v>
      </c>
    </row>
    <row r="25" customFormat="false" ht="15" hidden="false" customHeight="true" outlineLevel="0" collapsed="false">
      <c r="A25" s="15" t="s">
        <v>146</v>
      </c>
    </row>
    <row r="26" customFormat="false" ht="30" hidden="false" customHeight="true" outlineLevel="0" collapsed="false">
      <c r="A26" s="10" t="s">
        <v>147</v>
      </c>
      <c r="B26" s="10"/>
      <c r="C26" s="10"/>
      <c r="D26" s="10"/>
      <c r="E26" s="10"/>
      <c r="F26" s="10"/>
      <c r="G26" s="10"/>
      <c r="H26" s="10"/>
    </row>
    <row r="27" customFormat="false" ht="30" hidden="false" customHeight="true" outlineLevel="0" collapsed="false">
      <c r="A27" s="23" t="s">
        <v>148</v>
      </c>
      <c r="B27" s="23"/>
      <c r="C27" s="23"/>
      <c r="D27" s="23"/>
      <c r="E27" s="23"/>
      <c r="F27" s="23"/>
      <c r="G27" s="23"/>
      <c r="H27" s="23"/>
    </row>
    <row r="28" customFormat="false" ht="30" hidden="false" customHeight="true" outlineLevel="0" collapsed="false">
      <c r="A28" s="10" t="s">
        <v>149</v>
      </c>
      <c r="B28" s="10"/>
      <c r="C28" s="10"/>
      <c r="D28" s="10"/>
      <c r="E28" s="10"/>
      <c r="F28" s="10"/>
      <c r="G28" s="10"/>
      <c r="H28" s="10"/>
    </row>
    <row r="29" customFormat="false" ht="30" hidden="false" customHeight="true" outlineLevel="0" collapsed="false">
      <c r="A29" s="23" t="s">
        <v>150</v>
      </c>
      <c r="B29" s="23"/>
      <c r="C29" s="23"/>
      <c r="D29" s="23"/>
      <c r="E29" s="23"/>
      <c r="F29" s="23"/>
      <c r="G29" s="23"/>
      <c r="H29" s="23"/>
    </row>
    <row r="30" customFormat="false" ht="30" hidden="false" customHeight="true" outlineLevel="0" collapsed="false">
      <c r="A30" s="23" t="s">
        <v>151</v>
      </c>
      <c r="B30" s="23"/>
      <c r="C30" s="23"/>
      <c r="D30" s="23"/>
      <c r="E30" s="23"/>
      <c r="F30" s="23"/>
      <c r="G30" s="23"/>
      <c r="H30" s="23"/>
    </row>
  </sheetData>
  <mergeCells count="7">
    <mergeCell ref="A1:H1"/>
    <mergeCell ref="A2:H2"/>
    <mergeCell ref="A26:H26"/>
    <mergeCell ref="A27:H27"/>
    <mergeCell ref="A28:H28"/>
    <mergeCell ref="A29:H29"/>
    <mergeCell ref="A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4" min="3" style="1" width="16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14"/>
    <col collapsed="false" customWidth="true" hidden="false" outlineLevel="0" max="9" min="9" style="1" width="10"/>
    <col collapsed="false" customWidth="true" hidden="false" outlineLevel="0" max="10" min="10" style="1" width="46"/>
  </cols>
  <sheetData>
    <row r="1" customFormat="false" ht="17.25" hidden="false" customHeight="true" outlineLevel="0" collapsed="false">
      <c r="A1" s="9" t="s">
        <v>152</v>
      </c>
      <c r="B1" s="9"/>
      <c r="C1" s="9"/>
      <c r="D1" s="9"/>
      <c r="E1" s="9"/>
      <c r="F1" s="9"/>
      <c r="G1" s="9"/>
      <c r="H1" s="9"/>
      <c r="I1" s="9"/>
    </row>
    <row r="2" customFormat="false" ht="15" hidden="false" customHeight="true" outlineLevel="0" collapsed="false">
      <c r="A2" s="23" t="s">
        <v>153</v>
      </c>
      <c r="B2" s="23"/>
      <c r="C2" s="23"/>
      <c r="D2" s="23"/>
      <c r="E2" s="23"/>
      <c r="F2" s="23"/>
      <c r="G2" s="23"/>
      <c r="H2" s="23"/>
      <c r="I2" s="23"/>
    </row>
    <row r="4" customFormat="false" ht="39.75" hidden="false" customHeight="true" outlineLevel="0" collapsed="false">
      <c r="A4" s="11" t="s">
        <v>2</v>
      </c>
      <c r="B4" s="11" t="s">
        <v>154</v>
      </c>
      <c r="C4" s="11" t="s">
        <v>155</v>
      </c>
      <c r="D4" s="11" t="s">
        <v>156</v>
      </c>
      <c r="E4" s="11" t="s">
        <v>157</v>
      </c>
      <c r="F4" s="11" t="s">
        <v>158</v>
      </c>
      <c r="G4" s="11" t="s">
        <v>159</v>
      </c>
      <c r="H4" s="11" t="s">
        <v>160</v>
      </c>
      <c r="I4" s="11" t="s">
        <v>161</v>
      </c>
      <c r="J4" s="24" t="s">
        <v>7</v>
      </c>
    </row>
    <row r="5" customFormat="false" ht="48" hidden="false" customHeight="true" outlineLevel="0" collapsed="false">
      <c r="A5" s="12" t="n">
        <v>1</v>
      </c>
      <c r="B5" s="12" t="s">
        <v>162</v>
      </c>
      <c r="C5" s="12" t="s">
        <v>163</v>
      </c>
      <c r="D5" s="12" t="s">
        <v>164</v>
      </c>
      <c r="E5" s="12" t="s">
        <v>163</v>
      </c>
      <c r="F5" s="25" t="n">
        <v>40</v>
      </c>
      <c r="G5" s="26" t="n">
        <v>60</v>
      </c>
      <c r="H5" s="27" t="n">
        <f aca="false">G5-F5</f>
        <v>20</v>
      </c>
      <c r="I5" s="28" t="n">
        <f aca="false">H5/G5</f>
        <v>0.333333333333333</v>
      </c>
      <c r="J5" s="29" t="s">
        <v>165</v>
      </c>
    </row>
    <row r="6" customFormat="false" ht="48" hidden="false" customHeight="true" outlineLevel="0" collapsed="false">
      <c r="A6" s="12" t="n">
        <v>2</v>
      </c>
      <c r="B6" s="12" t="s">
        <v>166</v>
      </c>
      <c r="C6" s="26" t="n">
        <v>530</v>
      </c>
      <c r="D6" s="12" t="s">
        <v>167</v>
      </c>
      <c r="E6" s="25" t="n">
        <v>288</v>
      </c>
      <c r="F6" s="27" t="n">
        <f aca="false">C6/E6</f>
        <v>1.84027777777778</v>
      </c>
      <c r="G6" s="26" t="n">
        <v>55</v>
      </c>
      <c r="H6" s="27" t="n">
        <f aca="false">G6-F6</f>
        <v>53.1597222222222</v>
      </c>
      <c r="I6" s="28" t="n">
        <f aca="false">H6/G6</f>
        <v>0.966540404040404</v>
      </c>
      <c r="J6" s="29" t="s">
        <v>168</v>
      </c>
    </row>
    <row r="7" customFormat="false" ht="48" hidden="false" customHeight="true" outlineLevel="0" collapsed="false">
      <c r="A7" s="12" t="n">
        <v>3</v>
      </c>
      <c r="B7" s="12" t="s">
        <v>169</v>
      </c>
      <c r="C7" s="26" t="n">
        <v>756</v>
      </c>
      <c r="D7" s="12" t="s">
        <v>170</v>
      </c>
      <c r="E7" s="25" t="n">
        <v>48</v>
      </c>
      <c r="F7" s="27" t="n">
        <f aca="false">C7/E7</f>
        <v>15.75</v>
      </c>
      <c r="G7" s="26" t="n">
        <v>65</v>
      </c>
      <c r="H7" s="27" t="n">
        <f aca="false">G7-F7</f>
        <v>49.25</v>
      </c>
      <c r="I7" s="28" t="n">
        <f aca="false">H7/G7</f>
        <v>0.757692307692308</v>
      </c>
      <c r="J7" s="29" t="s">
        <v>171</v>
      </c>
    </row>
    <row r="8" customFormat="false" ht="48" hidden="false" customHeight="true" outlineLevel="0" collapsed="false">
      <c r="A8" s="12" t="n">
        <v>4</v>
      </c>
      <c r="B8" s="12" t="s">
        <v>172</v>
      </c>
      <c r="C8" s="26" t="n">
        <v>822</v>
      </c>
      <c r="D8" s="12" t="s">
        <v>173</v>
      </c>
      <c r="E8" s="25" t="n">
        <v>216</v>
      </c>
      <c r="F8" s="27" t="n">
        <f aca="false">C8/E8</f>
        <v>3.80555555555556</v>
      </c>
      <c r="G8" s="26" t="n">
        <v>28</v>
      </c>
      <c r="H8" s="27" t="n">
        <f aca="false">G8-F8</f>
        <v>24.1944444444444</v>
      </c>
      <c r="I8" s="28" t="n">
        <f aca="false">H8/G8</f>
        <v>0.864087301587302</v>
      </c>
      <c r="J8" s="29" t="s">
        <v>174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2"/>
    <col collapsed="false" customWidth="true" hidden="false" outlineLevel="0" max="3" min="3" style="1" width="18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8" min="6" style="1" width="14"/>
    <col collapsed="false" customWidth="true" hidden="false" outlineLevel="0" max="9" min="9" style="1" width="22"/>
  </cols>
  <sheetData>
    <row r="1" customFormat="false" ht="17.25" hidden="false" customHeight="true" outlineLevel="0" collapsed="false">
      <c r="A1" s="9" t="s">
        <v>175</v>
      </c>
      <c r="B1" s="9"/>
      <c r="C1" s="9"/>
      <c r="D1" s="9"/>
      <c r="E1" s="9"/>
      <c r="F1" s="9"/>
      <c r="G1" s="9"/>
    </row>
    <row r="2" customFormat="false" ht="15" hidden="false" customHeight="true" outlineLevel="0" collapsed="false">
      <c r="A2" s="10" t="s">
        <v>176</v>
      </c>
      <c r="B2" s="10"/>
      <c r="C2" s="10"/>
      <c r="D2" s="10"/>
      <c r="E2" s="10"/>
      <c r="F2" s="10"/>
      <c r="G2" s="10"/>
    </row>
    <row r="4" customFormat="false" ht="15" hidden="false" customHeight="true" outlineLevel="0" collapsed="false">
      <c r="A4" s="15" t="s">
        <v>177</v>
      </c>
    </row>
    <row r="5" customFormat="false" ht="15" hidden="false" customHeight="true" outlineLevel="0" collapsed="false">
      <c r="A5" s="1" t="s">
        <v>178</v>
      </c>
      <c r="B5" s="22" t="n">
        <v>60</v>
      </c>
    </row>
    <row r="6" customFormat="false" ht="15" hidden="false" customHeight="true" outlineLevel="0" collapsed="false">
      <c r="A6" s="1" t="s">
        <v>179</v>
      </c>
      <c r="B6" s="22" t="n">
        <v>40</v>
      </c>
    </row>
    <row r="7" customFormat="false" ht="15" hidden="false" customHeight="true" outlineLevel="0" collapsed="false">
      <c r="A7" s="1" t="s">
        <v>180</v>
      </c>
      <c r="B7" s="22" t="n">
        <v>60</v>
      </c>
    </row>
    <row r="8" customFormat="false" ht="15" hidden="false" customHeight="true" outlineLevel="0" collapsed="false">
      <c r="A8" s="1" t="s">
        <v>181</v>
      </c>
      <c r="B8" s="22" t="n">
        <v>40</v>
      </c>
    </row>
    <row r="9" customFormat="false" ht="15" hidden="false" customHeight="true" outlineLevel="0" collapsed="false">
      <c r="A9" s="1" t="s">
        <v>182</v>
      </c>
      <c r="B9" s="22" t="n">
        <v>28</v>
      </c>
    </row>
    <row r="10" customFormat="false" ht="15" hidden="false" customHeight="true" outlineLevel="0" collapsed="false">
      <c r="A10" s="1" t="s">
        <v>183</v>
      </c>
      <c r="B10" s="22" t="n">
        <v>3.81</v>
      </c>
    </row>
    <row r="11" customFormat="false" ht="15" hidden="false" customHeight="true" outlineLevel="0" collapsed="false">
      <c r="A11" s="1" t="s">
        <v>136</v>
      </c>
      <c r="B11" s="22" t="n">
        <v>20</v>
      </c>
    </row>
    <row r="12" customFormat="false" ht="15" hidden="false" customHeight="true" outlineLevel="0" collapsed="false">
      <c r="A12" s="1" t="s">
        <v>184</v>
      </c>
      <c r="B12" s="22" t="n">
        <v>15</v>
      </c>
    </row>
    <row r="15" customFormat="false" ht="42" hidden="false" customHeight="true" outlineLevel="0" collapsed="false">
      <c r="A15" s="11" t="s">
        <v>185</v>
      </c>
      <c r="B15" s="11" t="s">
        <v>186</v>
      </c>
      <c r="C15" s="11" t="s">
        <v>187</v>
      </c>
      <c r="D15" s="11" t="s">
        <v>188</v>
      </c>
      <c r="E15" s="11" t="s">
        <v>189</v>
      </c>
      <c r="F15" s="11" t="s">
        <v>190</v>
      </c>
      <c r="G15" s="11" t="s">
        <v>191</v>
      </c>
      <c r="H15" s="11" t="s">
        <v>192</v>
      </c>
      <c r="I15" s="11" t="s">
        <v>193</v>
      </c>
    </row>
    <row r="16" customFormat="false" ht="31.5" hidden="false" customHeight="true" outlineLevel="0" collapsed="false">
      <c r="A16" s="12" t="s">
        <v>194</v>
      </c>
      <c r="B16" s="12" t="s">
        <v>195</v>
      </c>
      <c r="C16" s="27" t="n">
        <f aca="false">$B$5</f>
        <v>60</v>
      </c>
      <c r="D16" s="27" t="n">
        <f aca="false">$B$11</f>
        <v>20</v>
      </c>
      <c r="E16" s="27" t="n">
        <f aca="false">C16+D16</f>
        <v>80</v>
      </c>
      <c r="F16" s="27" t="n">
        <f aca="false">$B$6</f>
        <v>40</v>
      </c>
      <c r="G16" s="27" t="n">
        <f aca="false">$B$12</f>
        <v>15</v>
      </c>
      <c r="H16" s="27" t="n">
        <f aca="false">E16-F16-G16</f>
        <v>25</v>
      </c>
      <c r="I16" s="27" t="n">
        <f aca="false">$E$19-E16</f>
        <v>128</v>
      </c>
    </row>
    <row r="17" customFormat="false" ht="31.5" hidden="false" customHeight="true" outlineLevel="0" collapsed="false">
      <c r="A17" s="12" t="s">
        <v>196</v>
      </c>
      <c r="B17" s="12" t="s">
        <v>197</v>
      </c>
      <c r="C17" s="27" t="n">
        <f aca="false">$B$5+$B$7</f>
        <v>120</v>
      </c>
      <c r="D17" s="27" t="n">
        <f aca="false">$B$11</f>
        <v>20</v>
      </c>
      <c r="E17" s="27" t="n">
        <f aca="false">C17+D17</f>
        <v>140</v>
      </c>
      <c r="F17" s="27" t="n">
        <f aca="false">$B$6+$B$8</f>
        <v>80</v>
      </c>
      <c r="G17" s="27" t="n">
        <f aca="false">$B$12</f>
        <v>15</v>
      </c>
      <c r="H17" s="27" t="n">
        <f aca="false">E17-F17-G17</f>
        <v>45</v>
      </c>
      <c r="I17" s="27" t="n">
        <f aca="false">$E$19-E17</f>
        <v>68</v>
      </c>
    </row>
    <row r="18" customFormat="false" ht="31.5" hidden="false" customHeight="true" outlineLevel="0" collapsed="false">
      <c r="A18" s="30" t="s">
        <v>198</v>
      </c>
      <c r="B18" s="30" t="s">
        <v>199</v>
      </c>
      <c r="C18" s="27" t="n">
        <f aca="false">$B$5+$B$7</f>
        <v>120</v>
      </c>
      <c r="D18" s="27" t="n">
        <f aca="false">$B$11</f>
        <v>20</v>
      </c>
      <c r="E18" s="27" t="n">
        <f aca="false">C18+D18</f>
        <v>140</v>
      </c>
      <c r="F18" s="27" t="n">
        <f aca="false">$B$6+$B$8+$B$10</f>
        <v>83.81</v>
      </c>
      <c r="G18" s="27" t="n">
        <f aca="false">$B$12</f>
        <v>15</v>
      </c>
      <c r="H18" s="27" t="n">
        <f aca="false">E18-F18-G18</f>
        <v>41.19</v>
      </c>
      <c r="I18" s="27" t="n">
        <f aca="false">$E$19-E18</f>
        <v>68</v>
      </c>
    </row>
    <row r="19" customFormat="false" ht="31.5" hidden="false" customHeight="true" outlineLevel="0" collapsed="false">
      <c r="A19" s="12" t="s">
        <v>200</v>
      </c>
      <c r="B19" s="12" t="s">
        <v>201</v>
      </c>
      <c r="C19" s="27" t="n">
        <f aca="false">$B$5+$B$7+$B$9</f>
        <v>148</v>
      </c>
      <c r="D19" s="27" t="n">
        <f aca="false">$B$11*3</f>
        <v>60</v>
      </c>
      <c r="E19" s="27" t="n">
        <f aca="false">C19+D19</f>
        <v>208</v>
      </c>
      <c r="F19" s="27" t="n">
        <f aca="false">$B$6+$B$8+$B$10</f>
        <v>83.81</v>
      </c>
      <c r="G19" s="27" t="n">
        <f aca="false">$B$12*3</f>
        <v>45</v>
      </c>
      <c r="H19" s="27" t="n">
        <f aca="false">E19-F19-G19</f>
        <v>79.19</v>
      </c>
      <c r="I19" s="27" t="n">
        <v>0</v>
      </c>
    </row>
    <row r="21" customFormat="false" ht="15" hidden="false" customHeight="true" outlineLevel="0" collapsed="false">
      <c r="A21" s="15" t="s">
        <v>146</v>
      </c>
    </row>
    <row r="22" customFormat="false" ht="27.75" hidden="false" customHeight="true" outlineLevel="0" collapsed="false">
      <c r="A22" s="10" t="s">
        <v>202</v>
      </c>
      <c r="B22" s="10"/>
      <c r="C22" s="10"/>
      <c r="D22" s="10"/>
      <c r="E22" s="10"/>
      <c r="F22" s="10"/>
      <c r="G22" s="10"/>
      <c r="H22" s="10"/>
      <c r="I22" s="10"/>
    </row>
    <row r="23" customFormat="false" ht="27.75" hidden="false" customHeight="true" outlineLevel="0" collapsed="false">
      <c r="A23" s="10" t="s">
        <v>203</v>
      </c>
      <c r="B23" s="10"/>
      <c r="C23" s="10"/>
      <c r="D23" s="10"/>
      <c r="E23" s="10"/>
      <c r="F23" s="10"/>
      <c r="G23" s="10"/>
      <c r="H23" s="10"/>
      <c r="I23" s="10"/>
    </row>
    <row r="24" customFormat="false" ht="27.75" hidden="false" customHeight="true" outlineLevel="0" collapsed="false">
      <c r="A24" s="10" t="s">
        <v>204</v>
      </c>
      <c r="B24" s="10"/>
      <c r="C24" s="10"/>
      <c r="D24" s="10"/>
      <c r="E24" s="10"/>
      <c r="F24" s="10"/>
      <c r="G24" s="10"/>
      <c r="H24" s="10"/>
      <c r="I24" s="10"/>
    </row>
    <row r="25" customFormat="false" ht="27.75" hidden="false" customHeight="true" outlineLevel="0" collapsed="false">
      <c r="A25" s="10" t="s">
        <v>205</v>
      </c>
      <c r="B25" s="10"/>
      <c r="C25" s="10"/>
      <c r="D25" s="10"/>
      <c r="E25" s="10"/>
      <c r="F25" s="10"/>
      <c r="G25" s="10"/>
      <c r="H25" s="10"/>
      <c r="I25" s="10"/>
    </row>
    <row r="26" customFormat="false" ht="27.75" hidden="false" customHeight="true" outlineLevel="0" collapsed="false">
      <c r="A26" s="10" t="s">
        <v>206</v>
      </c>
      <c r="B26" s="10"/>
      <c r="C26" s="10"/>
      <c r="D26" s="10"/>
      <c r="E26" s="10"/>
      <c r="F26" s="10"/>
      <c r="G26" s="10"/>
      <c r="H26" s="10"/>
      <c r="I26" s="10"/>
    </row>
  </sheetData>
  <mergeCells count="7">
    <mergeCell ref="A1:G1"/>
    <mergeCell ref="A2:G2"/>
    <mergeCell ref="A22:I22"/>
    <mergeCell ref="A23:I23"/>
    <mergeCell ref="A24:I24"/>
    <mergeCell ref="A25:I25"/>
    <mergeCell ref="A26:I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2026-09-07T16:44:30Z</dcterms:created>
  <dc:creator>openpyxl</dc:creator>
  <dc:description/>
  <dc:language>en-US</dc:language>
  <cp:lastModifiedBy/>
  <dcterms:modified xsi:type="dcterms:W3CDTF">2026-09-11T03:43:18Z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