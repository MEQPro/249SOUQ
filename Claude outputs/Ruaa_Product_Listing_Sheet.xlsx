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Lis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<sst xmlns="http://schemas.openxmlformats.org/spreadsheetml/2006/main" count="82" uniqueCount="57">
  <si>
    <t xml:space="preserve">249Souq — ورقة إدراج المنتجات / Product Listing Sheet</t>
  </si>
  <si>
    <t xml:space="preserve">اسم البائع Seller: _____________________        التاريخ Date: _____________</t>
  </si>
  <si>
    <t xml:space="preserve">طريقة التعبئة: الخانات الزرقاء يعبيها البائع. الخانات الخضراء يعبيها 249Souq فقط. في الأسفل صف مثال — احذفيه قبل إرسال منتجاتك الحقيقية. / HOW TO FILL: blue cells are for the seller to fill in. Green cells are filled by 249Souq only. One example row is shown below — delete it before sending your real products.</t>
  </si>
  <si>
    <t xml:space="preserve">الرمز التسلسلي (تلقائي)
SKU (auto)</t>
  </si>
  <si>
    <t xml:space="preserve">اسم المنتج (إنجليزي)
Product Name (English)</t>
  </si>
  <si>
    <t xml:space="preserve">اسم المنتج (عربي)
Product Name (Arabic)</t>
  </si>
  <si>
    <t xml:space="preserve">التغليف / الحجم
(مثال: برطمان 50 مل)
Packaging / Size</t>
  </si>
  <si>
    <t xml:space="preserve">وصف مختصر
Short Description</t>
  </si>
  <si>
    <t xml:space="preserve">هل أرفقت الصور؟
(نعم/لا + رابط)
Photos Attached?</t>
  </si>
  <si>
    <t xml:space="preserve">سعر الجملة المعروض لـ 249Souq (بالدرهم)
Wholesale Price (AED)</t>
  </si>
  <si>
    <t xml:space="preserve">السعر المقترح للبيع
(بالدرهم)
Suggested Retail Price (AED)</t>
  </si>
  <si>
    <t xml:space="preserve">نسبة العمولة
(20 أو 25)
Commission % (20 or 25)</t>
  </si>
  <si>
    <t xml:space="preserve">صافي مستحقاتك من كل بيعة
(بالدرهم)
Your Payout per Sale (AED)</t>
  </si>
  <si>
    <t xml:space="preserve">الفئة
Category</t>
  </si>
  <si>
    <t xml:space="preserve">حالة المخزون
(جاهز / عند الطلب)
Stock Status</t>
  </si>
  <si>
    <t xml:space="preserve">وقت التجهيز
Prep Time</t>
  </si>
  <si>
    <t xml:space="preserve">Melina Mukhammaria 20g</t>
  </si>
  <si>
    <t xml:space="preserve">مخمريه ميلينا نسائيه للجسم والشعر </t>
  </si>
  <si>
    <t xml:space="preserve">20ml تغليف اسود راقي وسهل الاستخدام </t>
  </si>
  <si>
    <t xml:space="preserve">مخمريه للجسم والشعر توضع على مناطق النبض وأطراف الشعر </t>
  </si>
  <si>
    <t xml:space="preserve">Yes </t>
  </si>
  <si>
    <t xml:space="preserve">روتين تثبيت العطر </t>
  </si>
  <si>
    <t xml:space="preserve">جاهز / Ready</t>
  </si>
  <si>
    <t xml:space="preserve">نفس اليوم / Same day</t>
  </si>
  <si>
    <t xml:space="preserve">Melina body exfoliating and scrub 200g</t>
  </si>
  <si>
    <t xml:space="preserve">ميلينا مقشرالجسم بنفس ريحه المخمريه 200g </t>
  </si>
  <si>
    <t xml:space="preserve">علب سوداءبالذهبي</t>
  </si>
  <si>
    <t xml:space="preserve">يستخدم على الجسم كامل آمن تماما يزيل طبقات الجلد الميت ويساعد على ازاله Strawberry skin ويعطي نعومه وملمس مخملي ورائحه جميله تدوم طوال اليوم 200g </t>
  </si>
  <si>
    <t xml:space="preserve">جاهز</t>
  </si>
  <si>
    <t xml:space="preserve">Same day </t>
  </si>
  <si>
    <t xml:space="preserve">Melina body cream 200g</t>
  </si>
  <si>
    <t xml:space="preserve">ملينا كريم مرطب للجسم بنفس ريحه المخمريه 200g </t>
  </si>
  <si>
    <t xml:space="preserve">علب سوداء بالذهبي </t>
  </si>
  <si>
    <t xml:space="preserve">مرطب عميق للجسم بنفس رائحه المخمريه يعطي ترطيب عميق نعومه وملمس مخملي غير دهني ويثبت الرائحة </t>
  </si>
  <si>
    <t xml:space="preserve">Yes</t>
  </si>
  <si>
    <t xml:space="preserve">جاهز </t>
  </si>
  <si>
    <t xml:space="preserve">Lysia Inspired by Miss Dior EDP</t>
  </si>
  <si>
    <t xml:space="preserve">Lysia Mukhammaria 20g</t>
  </si>
  <si>
    <t xml:space="preserve">مخمريه ليزيا 20 للجسم والشعر g للبنات والنساء </t>
  </si>
  <si>
    <t xml:space="preserve">تغليف اسود وذهبي راقي </t>
  </si>
  <si>
    <t xml:space="preserve">Lysia body exfoliating and scrub 200g </t>
  </si>
  <si>
    <t xml:space="preserve">ليزيا مقشر للجسم بنفس رائحه المخمريه 200g </t>
  </si>
  <si>
    <t xml:space="preserve">تغليف اسود وذهبي </t>
  </si>
  <si>
    <t xml:space="preserve">Lysia body cream 200g </t>
  </si>
  <si>
    <t xml:space="preserve">ليزيا كريم مرطب للجسم بنفس رائحه المخمريه 200g </t>
  </si>
  <si>
    <t xml:space="preserve">مرطب عميق للجسم بنفس رائحه المخمريه و مقشر الجسم يعطي ترطيب عميق وملمس مخملي غير دهني ويثبت الرائحة </t>
  </si>
  <si>
    <t xml:space="preserve">Kayros Inspired by Bleu de Chanel</t>
  </si>
  <si>
    <t xml:space="preserve">Kayros men Mukhammaria for hair and body 20g</t>
  </si>
  <si>
    <t xml:space="preserve">كايروس مخمريه رجاليه للجسم والشعر 20g</t>
  </si>
  <si>
    <t xml:space="preserve">مخمريه للجسم والشعر توضع على الشعر و الذقن و على مناطق النبض </t>
  </si>
  <si>
    <t xml:space="preserve">Kayros perfume body soap 120g</t>
  </si>
  <si>
    <t xml:space="preserve">كايروس صابون معطّر للجسم بنفس رائحه المخمريه 120g</t>
  </si>
  <si>
    <t xml:space="preserve">تغليف شفاف </t>
  </si>
  <si>
    <t xml:space="preserve">صابون فاخر نوعين مدمج بلوفة و من غير لوفه يرطب ويعطر الجسم بنفس رائحه المخمريه يعطي ثبات للعطر 120g</t>
  </si>
  <si>
    <t xml:space="preserve">Kayros body lotion 200g </t>
  </si>
  <si>
    <t xml:space="preserve">كايروس كريم مرطب للجسم 200g </t>
  </si>
  <si>
    <t xml:space="preserve">لوشن مائي مرطب للجسم يثبت العطر لساعات طويلة غير دهني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</si>
</sst>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AED&quot;"/>
    <numFmt numFmtId="166" formatCode="0%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46A38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7A1F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46A38"/>
        <bgColor rgb="FF008080"/>
      </patternFill>
    </fill>
    <fill>
      <patternFill patternType="solid">
        <fgColor rgb="FFF2EBD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46A38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B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true" showRowColHeaders="true" showZeros="true" rightToLeft="false" tabSelected="true" showOutlineSymbols="true" defaultGridColor="true" view="normal" topLeftCell="A16" colorId="64" zoomScale="99" zoomScaleNormal="99" zoomScalePageLayoutView="100" workbookViewId="0">
      <selection pane="topLeft" activeCell="A7" activeCellId="0" sqref="A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6.67"/>
    <col collapsed="false" customWidth="true" hidden="false" outlineLevel="0" max="2" min="2" style="0" width="24.21"/>
    <col collapsed="false" customWidth="true" hidden="false" outlineLevel="0" max="3" min="3" style="0" width="23.22"/>
    <col collapsed="false" customWidth="true" hidden="false" outlineLevel="0" max="4" min="4" style="0" width="16.89"/>
    <col collapsed="false" customWidth="true" hidden="false" outlineLevel="0" max="5" min="5" style="0" width="40.77"/>
    <col collapsed="false" customWidth="true" hidden="false" outlineLevel="0" max="6" min="6" style="0" width="23.44"/>
    <col collapsed="false" customWidth="true" hidden="false" outlineLevel="0" max="7" min="7" style="0" width="32.34"/>
    <col collapsed="false" customWidth="true" hidden="false" outlineLevel="0" max="8" min="8" style="0" width="18.34"/>
    <col collapsed="false" customWidth="true" hidden="false" outlineLevel="0" max="9" min="9" style="0" width="16.89"/>
    <col collapsed="false" customWidth="true" hidden="false" outlineLevel="0" max="10" min="10" style="0" width="23.33"/>
    <col collapsed="false" customWidth="true" hidden="false" outlineLevel="0" max="11" min="11" style="0" width="22.77"/>
    <col collapsed="false" customWidth="true" hidden="false" outlineLevel="0" max="12" min="12" style="0" width="13.88"/>
    <col collapsed="false" customWidth="true" hidden="false" outlineLevel="0" max="13" min="13" style="0" width="11"/>
  </cols>
  <sheetData>
    <row r="1" customFormat="false" ht="17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0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64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customFormat="false" ht="27" hidden="false" customHeight="true" outlineLevel="0" collapsed="false">
      <c r="A6" s="5" t="str">
        <f aca="false">IF(B6="","","RUAA-"&amp;TEXT(ROW()-5,"000"))</f>
        <v>RUAA-001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7" t="n">
        <v>36</v>
      </c>
      <c r="H6" s="8" t="n">
        <f aca="false">IF(OR(G6="",I6=""),"",G6/(1-I6))</f>
        <v>45</v>
      </c>
      <c r="I6" s="9" t="n">
        <v>0.2</v>
      </c>
      <c r="J6" s="8" t="n">
        <f aca="false">IF(OR(H6="",I6=""),"",H6*(1-I6))</f>
        <v>36</v>
      </c>
      <c r="K6" s="6" t="s">
        <v>21</v>
      </c>
      <c r="L6" s="6" t="s">
        <v>22</v>
      </c>
      <c r="M6" s="6" t="s">
        <v>23</v>
      </c>
    </row>
    <row r="7" customFormat="false" ht="39.75" hidden="false" customHeight="true" outlineLevel="0" collapsed="false">
      <c r="A7" s="10" t="str">
        <f aca="false">IF(B7="","","RUAA-"&amp;TEXT(ROW()-5,"000"))</f>
        <v>RUAA-002</v>
      </c>
      <c r="B7" s="11" t="s">
        <v>24</v>
      </c>
      <c r="C7" s="11" t="s">
        <v>25</v>
      </c>
      <c r="D7" s="11" t="s">
        <v>26</v>
      </c>
      <c r="E7" s="11" t="s">
        <v>27</v>
      </c>
      <c r="F7" s="11" t="s">
        <v>20</v>
      </c>
      <c r="G7" s="12" t="n">
        <v>52</v>
      </c>
      <c r="H7" s="13" t="n">
        <f aca="false">IF(OR(G7="",I7=""),"",G7/(1-I7))</f>
        <v>65</v>
      </c>
      <c r="I7" s="14" t="n">
        <v>0.2</v>
      </c>
      <c r="J7" s="13" t="n">
        <f aca="false">IF(OR(H7="",I7=""),"",H7*(1-I7))</f>
        <v>52</v>
      </c>
      <c r="K7" s="11"/>
      <c r="L7" s="11" t="s">
        <v>28</v>
      </c>
      <c r="M7" s="11" t="s">
        <v>29</v>
      </c>
    </row>
    <row r="8" customFormat="false" ht="27" hidden="false" customHeight="true" outlineLevel="0" collapsed="false">
      <c r="A8" s="10" t="str">
        <f aca="false">IF(B8="","","RUAA-"&amp;TEXT(ROW()-5,"000"))</f>
        <v>RUAA-003</v>
      </c>
      <c r="B8" s="11" t="s">
        <v>30</v>
      </c>
      <c r="C8" s="11" t="s">
        <v>31</v>
      </c>
      <c r="D8" s="11" t="s">
        <v>32</v>
      </c>
      <c r="E8" s="11" t="s">
        <v>33</v>
      </c>
      <c r="F8" s="11" t="s">
        <v>34</v>
      </c>
      <c r="G8" s="12" t="n">
        <v>48</v>
      </c>
      <c r="H8" s="13" t="n">
        <f aca="false">IF(OR(G8="",I8=""),"",G8/(1-I8))</f>
        <v>60</v>
      </c>
      <c r="I8" s="14" t="n">
        <v>0.2</v>
      </c>
      <c r="J8" s="13" t="n">
        <f aca="false">IF(OR(H8="",I8=""),"",H8*(1-I8))</f>
        <v>48</v>
      </c>
      <c r="K8" s="11"/>
      <c r="L8" s="11" t="s">
        <v>35</v>
      </c>
      <c r="M8" s="11" t="s">
        <v>29</v>
      </c>
    </row>
    <row r="9" customFormat="false" ht="14.25" hidden="false" customHeight="false" outlineLevel="0" collapsed="false">
      <c r="A9" s="10"/>
      <c r="B9" s="11"/>
      <c r="C9" s="11"/>
      <c r="D9" s="11"/>
      <c r="E9" s="11"/>
      <c r="F9" s="11"/>
      <c r="G9" s="12"/>
      <c r="H9" s="13"/>
      <c r="I9" s="14"/>
      <c r="J9" s="13"/>
      <c r="K9" s="11"/>
      <c r="L9" s="11"/>
      <c r="M9" s="11"/>
    </row>
    <row r="10" customFormat="false" ht="26.25" hidden="false" customHeight="true" outlineLevel="0" collapsed="false">
      <c r="A10" s="10" t="s">
        <v>36</v>
      </c>
      <c r="B10" s="11"/>
      <c r="C10" s="11"/>
      <c r="D10" s="11"/>
      <c r="E10" s="11"/>
      <c r="F10" s="11"/>
      <c r="G10" s="12"/>
      <c r="H10" s="13"/>
      <c r="I10" s="14"/>
      <c r="J10" s="13"/>
      <c r="K10" s="11"/>
      <c r="L10" s="11"/>
      <c r="M10" s="11"/>
    </row>
    <row r="11" customFormat="false" ht="27" hidden="false" customHeight="true" outlineLevel="0" collapsed="false">
      <c r="A11" s="10" t="str">
        <f aca="false">IF(B11="","","RUAA-"&amp;TEXT(ROW()-5,"000"))</f>
        <v>RUAA-006</v>
      </c>
      <c r="B11" s="11" t="s">
        <v>37</v>
      </c>
      <c r="C11" s="11" t="s">
        <v>38</v>
      </c>
      <c r="D11" s="11" t="s">
        <v>39</v>
      </c>
      <c r="E11" s="11" t="s">
        <v>19</v>
      </c>
      <c r="F11" s="11" t="s">
        <v>20</v>
      </c>
      <c r="G11" s="12" t="n">
        <v>36</v>
      </c>
      <c r="H11" s="13" t="n">
        <f aca="false">IF(OR(G11="",I11=""),"",G11/(1-I11))</f>
        <v>45</v>
      </c>
      <c r="I11" s="14" t="n">
        <v>0.2</v>
      </c>
      <c r="J11" s="13" t="n">
        <f aca="false">IF(OR(H11="",I11=""),"",H11*(1-I11))</f>
        <v>36</v>
      </c>
      <c r="K11" s="11"/>
      <c r="L11" s="11" t="s">
        <v>28</v>
      </c>
      <c r="M11" s="11" t="s">
        <v>29</v>
      </c>
    </row>
    <row r="12" customFormat="false" ht="40.5" hidden="false" customHeight="true" outlineLevel="0" collapsed="false">
      <c r="A12" s="10" t="str">
        <f aca="false">IF(B12="","","RUAA-"&amp;TEXT(ROW()-5,"000"))</f>
        <v>RUAA-007</v>
      </c>
      <c r="B12" s="11" t="s">
        <v>40</v>
      </c>
      <c r="C12" s="11" t="s">
        <v>41</v>
      </c>
      <c r="D12" s="11" t="s">
        <v>42</v>
      </c>
      <c r="E12" s="11" t="s">
        <v>27</v>
      </c>
      <c r="F12" s="11" t="s">
        <v>34</v>
      </c>
      <c r="G12" s="12" t="n">
        <v>52</v>
      </c>
      <c r="H12" s="13" t="n">
        <f aca="false">IF(OR(G12="",I12=""),"",G12/(1-I12))</f>
        <v>65</v>
      </c>
      <c r="I12" s="14" t="n">
        <v>0.2</v>
      </c>
      <c r="J12" s="13" t="n">
        <f aca="false">IF(OR(H12="",I12=""),"",H12*(1-I12))</f>
        <v>52</v>
      </c>
      <c r="K12" s="11"/>
      <c r="L12" s="11" t="s">
        <v>35</v>
      </c>
      <c r="M12" s="11" t="s">
        <v>29</v>
      </c>
    </row>
    <row r="13" customFormat="false" ht="27" hidden="false" customHeight="true" outlineLevel="0" collapsed="false">
      <c r="A13" s="10" t="str">
        <f aca="false">IF(B13="","","RUAA-"&amp;TEXT(ROW()-5,"000"))</f>
        <v>RUAA-008</v>
      </c>
      <c r="B13" s="11" t="s">
        <v>43</v>
      </c>
      <c r="C13" s="11" t="s">
        <v>44</v>
      </c>
      <c r="D13" s="11" t="s">
        <v>42</v>
      </c>
      <c r="E13" s="11" t="s">
        <v>45</v>
      </c>
      <c r="F13" s="11" t="s">
        <v>34</v>
      </c>
      <c r="G13" s="12" t="n">
        <v>48</v>
      </c>
      <c r="H13" s="13" t="n">
        <f aca="false">IF(OR(G13="",I13=""),"",G13/(1-I13))</f>
        <v>60</v>
      </c>
      <c r="I13" s="14" t="n">
        <v>0.2</v>
      </c>
      <c r="J13" s="13" t="n">
        <f aca="false">IF(OR(H13="",I13=""),"",H13*(1-I13))</f>
        <v>48</v>
      </c>
      <c r="K13" s="11"/>
      <c r="L13" s="11" t="s">
        <v>28</v>
      </c>
      <c r="M13" s="11" t="s">
        <v>29</v>
      </c>
    </row>
    <row r="14" customFormat="false" ht="14.25" hidden="false" customHeight="false" outlineLevel="0" collapsed="false">
      <c r="A14" s="10"/>
      <c r="B14" s="11"/>
      <c r="C14" s="11"/>
      <c r="D14" s="11"/>
      <c r="E14" s="11"/>
      <c r="F14" s="11"/>
      <c r="G14" s="12"/>
      <c r="H14" s="13"/>
      <c r="I14" s="14"/>
      <c r="J14" s="13"/>
      <c r="K14" s="11"/>
      <c r="L14" s="11"/>
      <c r="M14" s="11"/>
    </row>
    <row r="15" customFormat="false" ht="26.25" hidden="false" customHeight="true" outlineLevel="0" collapsed="false">
      <c r="A15" s="10" t="s">
        <v>46</v>
      </c>
      <c r="B15" s="11"/>
      <c r="C15" s="11"/>
      <c r="D15" s="11"/>
      <c r="E15" s="11"/>
      <c r="F15" s="11"/>
      <c r="G15" s="12"/>
      <c r="H15" s="13"/>
      <c r="I15" s="14"/>
      <c r="J15" s="13"/>
      <c r="K15" s="11"/>
      <c r="L15" s="11"/>
      <c r="M15" s="11"/>
    </row>
    <row r="16" customFormat="false" ht="27" hidden="false" customHeight="true" outlineLevel="0" collapsed="false">
      <c r="A16" s="10" t="str">
        <f aca="false">IF(B16="","","RUAA-"&amp;TEXT(ROW()-5,"000"))</f>
        <v>RUAA-011</v>
      </c>
      <c r="B16" s="11" t="s">
        <v>47</v>
      </c>
      <c r="C16" s="11" t="s">
        <v>48</v>
      </c>
      <c r="D16" s="11" t="s">
        <v>42</v>
      </c>
      <c r="E16" s="11" t="s">
        <v>49</v>
      </c>
      <c r="F16" s="11" t="s">
        <v>34</v>
      </c>
      <c r="G16" s="12" t="n">
        <v>36</v>
      </c>
      <c r="H16" s="13" t="n">
        <f aca="false">IF(OR(G16="",I16=""),"",G16/(1-I16))</f>
        <v>45</v>
      </c>
      <c r="I16" s="14" t="n">
        <v>0.2</v>
      </c>
      <c r="J16" s="13" t="n">
        <f aca="false">IF(OR(H16="",I16=""),"",H16*(1-I16))</f>
        <v>36</v>
      </c>
      <c r="K16" s="11"/>
      <c r="L16" s="11" t="s">
        <v>35</v>
      </c>
      <c r="M16" s="11" t="s">
        <v>29</v>
      </c>
    </row>
    <row r="17" customFormat="false" ht="27" hidden="false" customHeight="true" outlineLevel="0" collapsed="false">
      <c r="A17" s="10" t="str">
        <f aca="false">IF(B17="","","RUAA-"&amp;TEXT(ROW()-5,"000"))</f>
        <v>RUAA-012</v>
      </c>
      <c r="B17" s="11" t="s">
        <v>50</v>
      </c>
      <c r="C17" s="11" t="s">
        <v>51</v>
      </c>
      <c r="D17" s="11" t="s">
        <v>52</v>
      </c>
      <c r="E17" s="11" t="s">
        <v>53</v>
      </c>
      <c r="F17" s="11" t="s">
        <v>34</v>
      </c>
      <c r="G17" s="12" t="n">
        <v>36</v>
      </c>
      <c r="H17" s="13" t="n">
        <f aca="false">IF(OR(G17="",I17=""),"",G17/(1-I17))</f>
        <v>45</v>
      </c>
      <c r="I17" s="14" t="n">
        <v>0.2</v>
      </c>
      <c r="J17" s="13" t="n">
        <f aca="false">IF(OR(H17="",I17=""),"",H17*(1-I17))</f>
        <v>36</v>
      </c>
      <c r="K17" s="11"/>
      <c r="L17" s="11" t="s">
        <v>35</v>
      </c>
      <c r="M17" s="11" t="s">
        <v>29</v>
      </c>
    </row>
    <row r="18" customFormat="false" ht="14.25" hidden="false" customHeight="true" outlineLevel="0" collapsed="false">
      <c r="A18" s="10" t="str">
        <f aca="false">IF(B18="","","RUAA-"&amp;TEXT(ROW()-5,"000"))</f>
        <v>RUAA-013</v>
      </c>
      <c r="B18" s="11" t="s">
        <v>54</v>
      </c>
      <c r="C18" s="11" t="s">
        <v>55</v>
      </c>
      <c r="D18" s="11" t="s">
        <v>42</v>
      </c>
      <c r="E18" s="11" t="s">
        <v>56</v>
      </c>
      <c r="F18" s="11" t="s">
        <v>34</v>
      </c>
      <c r="G18" s="12" t="n">
        <v>48</v>
      </c>
      <c r="H18" s="13" t="n">
        <f aca="false">IF(OR(G18="",I18=""),"",G18/(1-I18))</f>
        <v>60</v>
      </c>
      <c r="I18" s="14" t="n">
        <v>0.2</v>
      </c>
      <c r="J18" s="13" t="n">
        <f aca="false">IF(OR(H18="",I18=""),"",H18*(1-I18))</f>
        <v>48</v>
      </c>
      <c r="K18" s="11"/>
      <c r="L18" s="11" t="s">
        <v>28</v>
      </c>
      <c r="M18" s="11" t="s">
        <v>29</v>
      </c>
    </row>
    <row r="19" customFormat="false" ht="14.25" hidden="false" customHeight="false" outlineLevel="0" collapsed="false">
      <c r="A19" s="10"/>
      <c r="B19" s="11"/>
      <c r="C19" s="11"/>
      <c r="D19" s="11"/>
      <c r="E19" s="11"/>
      <c r="F19" s="11"/>
      <c r="G19" s="12"/>
      <c r="H19" s="13"/>
      <c r="I19" s="14"/>
      <c r="J19" s="13"/>
      <c r="K19" s="11"/>
      <c r="L19" s="11"/>
      <c r="M19" s="11"/>
    </row>
    <row r="20" customFormat="false" ht="14.25" hidden="false" customHeight="false" outlineLevel="0" collapsed="false">
      <c r="A20" s="10"/>
      <c r="B20" s="11"/>
      <c r="C20" s="11"/>
      <c r="D20" s="11"/>
      <c r="E20" s="11"/>
      <c r="F20" s="11"/>
      <c r="G20" s="12"/>
      <c r="H20" s="13"/>
      <c r="I20" s="14"/>
      <c r="J20" s="13"/>
      <c r="K20" s="11"/>
      <c r="L20" s="11"/>
      <c r="M20" s="11"/>
    </row>
    <row r="21" customFormat="false" ht="14.25" hidden="false" customHeight="true" outlineLevel="0" collapsed="false">
      <c r="A21" s="15" t="str">
        <f aca="false">IF(B21="","","RUAA-"&amp;TEXT(ROW()-5,"000"))</f>
        <v/>
      </c>
      <c r="B21" s="16"/>
      <c r="C21" s="16"/>
      <c r="D21" s="16"/>
      <c r="E21" s="16"/>
      <c r="F21" s="16"/>
      <c r="G21" s="17"/>
      <c r="H21" s="18" t="str">
        <f aca="false">IF(OR(G21="",I21=""),"",G21/(1-I21))</f>
        <v/>
      </c>
      <c r="I21" s="19"/>
      <c r="J21" s="18" t="str">
        <f aca="false">IF(OR(H21="",I21=""),"",H21*(1-I21))</f>
        <v/>
      </c>
      <c r="K21" s="16"/>
      <c r="L21" s="16"/>
      <c r="M21" s="16"/>
    </row>
    <row r="22" customFormat="false" ht="14.25" hidden="false" customHeight="false" outlineLevel="0" collapsed="false">
      <c r="A22" s="15" t="str">
        <f aca="false">IF(B22="","","RUAA-"&amp;TEXT(ROW()-5,"000"))</f>
        <v/>
      </c>
      <c r="B22" s="16"/>
      <c r="C22" s="16"/>
      <c r="D22" s="16"/>
      <c r="E22" s="16"/>
      <c r="F22" s="16"/>
      <c r="G22" s="17"/>
      <c r="H22" s="18" t="str">
        <f aca="false">IF(OR(G22="",I22=""),"",G22/(1-I22))</f>
        <v/>
      </c>
      <c r="I22" s="19"/>
      <c r="J22" s="18" t="str">
        <f aca="false">IF(OR(H22="",I22=""),"",H22*(1-I22))</f>
        <v/>
      </c>
      <c r="K22" s="16"/>
      <c r="L22" s="16"/>
      <c r="M22" s="16"/>
    </row>
    <row r="23" customFormat="false" ht="14.25" hidden="false" customHeight="false" outlineLevel="0" collapsed="false">
      <c r="A23" s="15" t="str">
        <f aca="false">IF(B23="","","RUAA-"&amp;TEXT(ROW()-5,"000"))</f>
        <v/>
      </c>
      <c r="B23" s="16"/>
      <c r="C23" s="16"/>
      <c r="D23" s="16"/>
      <c r="E23" s="16"/>
      <c r="F23" s="16"/>
      <c r="G23" s="17"/>
      <c r="H23" s="18" t="str">
        <f aca="false">IF(OR(G23="",I23=""),"",G23/(1-I23))</f>
        <v/>
      </c>
      <c r="I23" s="19"/>
      <c r="J23" s="18" t="str">
        <f aca="false">IF(OR(H23="",I23=""),"",H23*(1-I23))</f>
        <v/>
      </c>
      <c r="K23" s="16"/>
      <c r="L23" s="16"/>
      <c r="M23" s="16"/>
    </row>
    <row r="24" customFormat="false" ht="14.25" hidden="false" customHeight="false" outlineLevel="0" collapsed="false">
      <c r="A24" s="15" t="str">
        <f aca="false">IF(B24="","","RUAA-"&amp;TEXT(ROW()-5,"000"))</f>
        <v/>
      </c>
      <c r="B24" s="16"/>
      <c r="C24" s="16"/>
      <c r="D24" s="16"/>
      <c r="E24" s="16"/>
      <c r="F24" s="16"/>
      <c r="G24" s="17"/>
      <c r="H24" s="18" t="str">
        <f aca="false">IF(OR(G24="",I24=""),"",G24/(1-I24))</f>
        <v/>
      </c>
      <c r="I24" s="19"/>
      <c r="J24" s="18" t="str">
        <f aca="false">IF(OR(H24="",I24=""),"",H24*(1-I24))</f>
        <v/>
      </c>
      <c r="K24" s="16"/>
      <c r="L24" s="16"/>
      <c r="M24" s="16"/>
    </row>
    <row r="25" customFormat="false" ht="14.25" hidden="false" customHeight="false" outlineLevel="0" collapsed="false">
      <c r="A25" s="15" t="str">
        <f aca="false">IF(B25="","","RUAA-"&amp;TEXT(ROW()-5,"000"))</f>
        <v/>
      </c>
      <c r="B25" s="16"/>
      <c r="C25" s="16"/>
      <c r="D25" s="16"/>
      <c r="E25" s="16"/>
      <c r="F25" s="16"/>
      <c r="G25" s="17"/>
      <c r="H25" s="18" t="str">
        <f aca="false">IF(OR(G25="",I25=""),"",G25/(1-I25))</f>
        <v/>
      </c>
      <c r="I25" s="19"/>
      <c r="J25" s="18" t="str">
        <f aca="false">IF(OR(H25="",I25=""),"",H25*(1-I25))</f>
        <v/>
      </c>
      <c r="K25" s="16"/>
      <c r="L25" s="16"/>
      <c r="M25" s="16"/>
    </row>
  </sheetData>
  <mergeCells count="3">
    <mergeCell ref="A1:M1"/>
    <mergeCell ref="A2:M2"/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2026-09-14T23:03:52Z</dcterms:created>
  <dc:creator>openpyxl</dc:creator>
  <dc:description/>
  <dc:language>en-US</dc:language>
  <cp:lastModifiedBy>Salwa Ahmed</cp:lastModifiedBy>
  <dcterms:modified xsi:type="dcterms:W3CDTF">2026-09-19T16:44:36Z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29236ceec61247ba9aab96b28c6e71d2</vt:lpwstr>
  </property>
</Properties>
</file>