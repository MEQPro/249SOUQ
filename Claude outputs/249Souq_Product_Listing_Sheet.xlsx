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Li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<sst xmlns="http://schemas.openxmlformats.org/spreadsheetml/2006/main" count="24" uniqueCount="24">
  <si>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249Souq — ورقة إدراج المنتجات / Product Listing Sheet</t>
  </si>
  <si>
    <t xml:space="preserve">اسم البائع Seller: _____________________        التاريخ Date: _____________</t>
  </si>
  <si>
    <t xml:space="preserve">طريقة التعبئة: الخانات الزرقاء يعبيها البائع. الخانات الخضراء يعبيها 249Souq فقط. في الأسفل صف مثال — احذفيه قبل إرسال منتجاتك الحقيقية. / HOW TO FILL: blue cells are for the seller to fill in. Green cells are filled by 249Souq only. One example row is shown below — delete it before sending your real products.</t>
  </si>
  <si>
    <t xml:space="preserve">الرمز التسلسلي (تلقائي)
SKU (auto)</t>
  </si>
  <si>
    <t xml:space="preserve">اسم المنتج (إنجليزي)
Product Name (English)</t>
  </si>
  <si>
    <t xml:space="preserve">اسم المنتج (عربي)
Product Name (Arabic)</t>
  </si>
  <si>
    <t xml:space="preserve">التغليف / الحجم
(مثال: برطمان 50 مل)
Packaging / Size</t>
  </si>
  <si>
    <t xml:space="preserve">وصف مختصر
Short Description</t>
  </si>
  <si>
    <t xml:space="preserve">هل أرفقت الصور؟
(نعم/لا + رابط)
Photos Attached?</t>
  </si>
  <si>
    <t xml:space="preserve">سعر الجملة المعروض لـ 249Souq
(بالدرهم)
Wholesale Price (AED)</t>
  </si>
  <si>
    <t xml:space="preserve">السعر المقترح للبيع
(بالدرهم)
Suggested Retail Price (AED)</t>
  </si>
  <si>
    <t xml:space="preserve">نسبة العمولة
(20 أو 25)
Commission % (20 or 25)</t>
  </si>
  <si>
    <t xml:space="preserve">صافي مستحقاتك من كل بيعة
(بالدرهم)
Your Payout per Sale (AED)</t>
  </si>
  <si>
    <t xml:space="preserve">الفئة
Category</t>
  </si>
  <si>
    <t xml:space="preserve">حالة المخزون
(جاهز / عند الطلب)
Stock Status</t>
  </si>
  <si>
    <t xml:space="preserve">وقت التجهيز
Prep Time</t>
  </si>
  <si>
    <t xml:space="preserve">Oud Rose Body Oil</t>
  </si>
  <si>
    <t xml:space="preserve">زيت جسم عود وورد</t>
  </si>
  <si>
    <t xml:space="preserve">برطمان زجاج 50 مل / 50ml glass jar</t>
  </si>
  <si>
    <t xml:space="preserve">زيت جسم عود وورد، ريحته تدوم طويلاً، صناعة يدوية / Long-lasting oud &amp; rose body oil, handmade</t>
  </si>
  <si>
    <t xml:space="preserve">نعم - أُرسلت عبر واتساب / Yes - sent via WhatsApp</t>
  </si>
  <si>
    <t xml:space="preserve">عطور / منتجات العناية بالجسم / Perfume, Body Care</t>
  </si>
  <si>
    <t xml:space="preserve">جاهز / Ready</t>
  </si>
  <si>
    <t xml:space="preserve">نفس اليوم / Same day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</si>
</sst>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AED&quot;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46A38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A1F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F2EB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B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8" min="7" style="0" width="20"/>
    <col collapsed="false" customWidth="true" hidden="false" outlineLevel="0" max="9" min="9" style="0" width="15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64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39.55" hidden="false" customHeight="false" outlineLevel="0" collapsed="false">
      <c r="A6" s="5" t="str">
        <f aca="false">"RUAA-"&amp;TEXT(ROW()-5,"000")</f>
        <v>RUAA-001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7" t="n">
        <v>120</v>
      </c>
      <c r="H6" s="8" t="n">
        <f aca="false">IF(I6="","",G6/(1-I6))</f>
        <v>160</v>
      </c>
      <c r="I6" s="9" t="n">
        <v>0.25</v>
      </c>
      <c r="J6" s="8" t="n">
        <f aca="false">IF(I6="","",H6*(1-I6))</f>
        <v>120</v>
      </c>
      <c r="K6" s="6" t="s">
        <v>21</v>
      </c>
      <c r="L6" s="6" t="s">
        <v>22</v>
      </c>
      <c r="M6" s="6" t="s">
        <v>23</v>
      </c>
    </row>
    <row r="7" customFormat="false" ht="15" hidden="false" customHeight="false" outlineLevel="0" collapsed="false">
      <c r="A7" s="10" t="str">
        <f aca="false">IF(B7="","","RUAA-"&amp;TEXT(ROW()-5,"000"))</f>
        <v/>
      </c>
      <c r="B7" s="11"/>
      <c r="C7" s="11"/>
      <c r="D7" s="11"/>
      <c r="E7" s="11"/>
      <c r="F7" s="11"/>
      <c r="G7" s="12"/>
      <c r="H7" s="13" t="str">
        <f aca="false">IF(OR(G7="",I7=""),"",G7/(1-I7))</f>
        <v/>
      </c>
      <c r="I7" s="14"/>
      <c r="J7" s="13" t="str">
        <f aca="false">IF(OR(H7="",I7=""),"",H7*(1-I7))</f>
        <v/>
      </c>
      <c r="K7" s="11"/>
      <c r="L7" s="11"/>
      <c r="M7" s="11"/>
    </row>
    <row r="8" customFormat="false" ht="15" hidden="false" customHeight="false" outlineLevel="0" collapsed="false">
      <c r="A8" s="10" t="str">
        <f aca="false">IF(B8="","","RUAA-"&amp;TEXT(ROW()-5,"000"))</f>
        <v/>
      </c>
      <c r="B8" s="11"/>
      <c r="C8" s="11"/>
      <c r="D8" s="11"/>
      <c r="E8" s="11"/>
      <c r="F8" s="11"/>
      <c r="G8" s="12"/>
      <c r="H8" s="13" t="str">
        <f aca="false">IF(OR(G8="",I8=""),"",G8/(1-I8))</f>
        <v/>
      </c>
      <c r="I8" s="14"/>
      <c r="J8" s="13" t="str">
        <f aca="false">IF(OR(H8="",I8=""),"",H8*(1-I8))</f>
        <v/>
      </c>
      <c r="K8" s="11"/>
      <c r="L8" s="11"/>
      <c r="M8" s="11"/>
    </row>
    <row r="9" customFormat="false" ht="15" hidden="false" customHeight="false" outlineLevel="0" collapsed="false">
      <c r="A9" s="10" t="str">
        <f aca="false">IF(B9="","","RUAA-"&amp;TEXT(ROW()-5,"000"))</f>
        <v/>
      </c>
      <c r="B9" s="11"/>
      <c r="C9" s="11"/>
      <c r="D9" s="11"/>
      <c r="E9" s="11"/>
      <c r="F9" s="11"/>
      <c r="G9" s="12"/>
      <c r="H9" s="13" t="str">
        <f aca="false">IF(OR(G9="",I9=""),"",G9/(1-I9))</f>
        <v/>
      </c>
      <c r="I9" s="14"/>
      <c r="J9" s="13" t="str">
        <f aca="false">IF(OR(H9="",I9=""),"",H9*(1-I9))</f>
        <v/>
      </c>
      <c r="K9" s="11"/>
      <c r="L9" s="11"/>
      <c r="M9" s="11"/>
    </row>
    <row r="10" customFormat="false" ht="15" hidden="false" customHeight="false" outlineLevel="0" collapsed="false">
      <c r="A10" s="10" t="str">
        <f aca="false">IF(B10="","","RUAA-"&amp;TEXT(ROW()-5,"000"))</f>
        <v/>
      </c>
      <c r="B10" s="11"/>
      <c r="C10" s="11"/>
      <c r="D10" s="11"/>
      <c r="E10" s="11"/>
      <c r="F10" s="11"/>
      <c r="G10" s="12"/>
      <c r="H10" s="13" t="str">
        <f aca="false">IF(OR(G10="",I10=""),"",G10/(1-I10))</f>
        <v/>
      </c>
      <c r="I10" s="14"/>
      <c r="J10" s="13" t="str">
        <f aca="false">IF(OR(H10="",I10=""),"",H10*(1-I10))</f>
        <v/>
      </c>
      <c r="K10" s="11"/>
      <c r="L10" s="11"/>
      <c r="M10" s="11"/>
    </row>
    <row r="11" customFormat="false" ht="15" hidden="false" customHeight="false" outlineLevel="0" collapsed="false">
      <c r="A11" s="10" t="str">
        <f aca="false">IF(B11="","","RUAA-"&amp;TEXT(ROW()-5,"000"))</f>
        <v/>
      </c>
      <c r="B11" s="11"/>
      <c r="C11" s="11"/>
      <c r="D11" s="11"/>
      <c r="E11" s="11"/>
      <c r="F11" s="11"/>
      <c r="G11" s="12"/>
      <c r="H11" s="13" t="str">
        <f aca="false">IF(OR(G11="",I11=""),"",G11/(1-I11))</f>
        <v/>
      </c>
      <c r="I11" s="14"/>
      <c r="J11" s="13" t="str">
        <f aca="false">IF(OR(H11="",I11=""),"",H11*(1-I11))</f>
        <v/>
      </c>
      <c r="K11" s="11"/>
      <c r="L11" s="11"/>
      <c r="M11" s="11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2026-09-15T03:03:52Z</dcterms:created>
  <dc:creator>openpyxl</dc:creator>
  <dc:description/>
  <dc:language>en-US</dc:language>
  <cp:lastModifiedBy/>
  <dcterms:modified xsi:type="dcterms:W3CDTF">2026-09-15T03:03:52Z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