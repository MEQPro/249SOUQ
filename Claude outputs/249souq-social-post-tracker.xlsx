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ost Tracker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<sst xmlns="http://schemas.openxmlformats.org/spreadsheetml/2006/main" count="96" uniqueCount="66">
  <si>
    <t xml:space="preserve">249Souq — Social Media Post Tracker</t>
  </si>
  <si>
    <t xml:space="preserve">How to use this file:</t>
  </si>
  <si>
    <t xml:space="preserve">1. Every time you post on Instagram or Facebook (feed post, Reel, or Story), add one row to the 'Post Tracker' sheet.</t>
  </si>
  <si>
    <t xml:space="preserve">2. Pull the numbers from Meta Business Suite -&gt; Insights -&gt; click the post -&gt; 'View Insights'.</t>
  </si>
  <si>
    <t xml:space="preserve">   For Reels in the Instagram app: open the Reel -&gt; tap 'View Insights' under it.</t>
  </si>
  <si>
    <t xml:space="preserve">3. Yellow cells are the ones you fill in manually. Everything else calculates itself.</t>
  </si>
  <si>
    <t xml:space="preserve">4. Log numbers on the same day if possible, then again after 7 days (numbers settle after the first week).</t>
  </si>
  <si>
    <t xml:space="preserve">What each column means:</t>
  </si>
  <si>
    <t xml:space="preserve">Reach = unique accounts that saw the post.</t>
  </si>
  <si>
    <t xml:space="preserve">Plays = total times a Reel was played (can be higher than Reach if people rewatch it).</t>
  </si>
  <si>
    <t xml:space="preserve">Avg Watch %  = average watch time shown in Insights, as a percentage of the Reel's length.</t>
  </si>
  <si>
    <t xml:space="preserve">Follows Gained = shown in Reel Insights under 'Accounts reached' -&gt; scroll to 'Follows'. This is your real growth number.</t>
  </si>
  <si>
    <t xml:space="preserve">Engagement Rate = (Likes+Comments+Shares+Saves) / Reach - calculated automatically.</t>
  </si>
  <si>
    <t xml:space="preserve">One example row is filled in on the Post Tracker sheet (light grey) to show the expected format - delete it whenever you like.</t>
  </si>
  <si>
    <t xml:space="preserve">Date</t>
  </si>
  <si>
    <t xml:space="preserve">Platform</t>
  </si>
  <si>
    <t xml:space="preserve">Content Type</t>
  </si>
  <si>
    <t xml:space="preserve">Content Pillar</t>
  </si>
  <si>
    <t xml:space="preserve">Topic / Caption (short)</t>
  </si>
  <si>
    <t xml:space="preserve">Reach</t>
  </si>
  <si>
    <t xml:space="preserve">Plays (Reels only)</t>
  </si>
  <si>
    <t xml:space="preserve">Avg Watch %</t>
  </si>
  <si>
    <t xml:space="preserve">Likes</t>
  </si>
  <si>
    <t xml:space="preserve">Comments</t>
  </si>
  <si>
    <t xml:space="preserve">Shares</t>
  </si>
  <si>
    <t xml:space="preserve">Saves</t>
  </si>
  <si>
    <t xml:space="preserve">Follows Gained</t>
  </si>
  <si>
    <t xml:space="preserve">Engagement Rate</t>
  </si>
  <si>
    <t xml:space="preserve">Notes</t>
  </si>
  <si>
    <t xml:space="preserve">2026-09-11</t>
  </si>
  <si>
    <t xml:space="preserve">Instagram</t>
  </si>
  <si>
    <t xml:space="preserve">Reel</t>
  </si>
  <si>
    <t xml:space="preserve">Follow-engine</t>
  </si>
  <si>
    <t xml:space="preserve">About-us carousel/Reel</t>
  </si>
  <si>
    <t xml:space="preserve">38%</t>
  </si>
  <si>
    <t xml:space="preserve">First 'about us' Reel post-launch</t>
  </si>
  <si>
    <t xml:space="preserve">2026-09-07</t>
  </si>
  <si>
    <t xml:space="preserve">Facebook</t>
  </si>
  <si>
    <t xml:space="preserve">Photo/Story</t>
  </si>
  <si>
    <t xml:space="preserve">Admin/Page setup</t>
  </si>
  <si>
    <t xml:space="preserve">249souq.com added a new photo.</t>
  </si>
  <si>
    <t xml:space="preserve">FB page post. Total clicks=0</t>
  </si>
  <si>
    <t xml:space="preserve">249souq.com updated their profile picture.</t>
  </si>
  <si>
    <t xml:space="preserve">FB page post. Total clicks=2</t>
  </si>
  <si>
    <t xml:space="preserve">2026-09-09</t>
  </si>
  <si>
    <t xml:space="preserve">249souq.com updated their cover photo.</t>
  </si>
  <si>
    <t xml:space="preserve">Product launch</t>
  </si>
  <si>
    <t xml:space="preserve">بخور "عبق الصندل" من 249Souq "ريحة البيت، وين...</t>
  </si>
  <si>
    <t xml:space="preserve">FB page post. Total clicks=100; Link clicks to site=1</t>
  </si>
  <si>
    <t xml:space="preserve">2026-09-10</t>
  </si>
  <si>
    <t xml:space="preserve">طيب… شنو هو 249Souq؟   السؤال دا جانا من أكتر...</t>
  </si>
  <si>
    <t xml:space="preserve">FB page post. Total clicks=3</t>
  </si>
  <si>
    <t xml:space="preserve">Reel w/ hashtags (#249souq #بخور_سوداني #sudanesecult...)</t>
  </si>
  <si>
    <t xml:space="preserve">FB page post. Total clicks=0; Avg watch=3.098s of 13s</t>
  </si>
  <si>
    <t xml:space="preserve">Reel w/ hashtags (#249souq #دعم_المشاريع_السودانية #ب...)</t>
  </si>
  <si>
    <t xml:space="preserve">FB page post. Total clicks=0; Avg watch=2.894s of 23s</t>
  </si>
  <si>
    <t xml:space="preserve">Community</t>
  </si>
  <si>
    <t xml:space="preserve">Reel (no caption entered)</t>
  </si>
  <si>
    <t xml:space="preserve">FB page post. Total clicks=0; Avg watch=2.485s of 22s</t>
  </si>
  <si>
    <t xml:space="preserve">FB page post. Total clicks=2; Avg watch=5.007s of 22s</t>
  </si>
  <si>
    <t xml:space="preserve">Quick Summary (auto-calculates from Post Tracker)</t>
  </si>
  <si>
    <t xml:space="preserve">Total posts logged</t>
  </si>
  <si>
    <t xml:space="preserve">Total Reach (all posts)</t>
  </si>
  <si>
    <t xml:space="preserve">Total Follows Gained</t>
  </si>
  <si>
    <t xml:space="preserve">Average Engagement Rate</t>
  </si>
  <si>
    <t xml:space="preserve">Best single post (highest Follows Gained)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</si>
</sst>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A1F2B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7A1F2B"/>
      <name val="Arial"/>
      <family val="0"/>
      <charset val="1"/>
    </font>
    <font>
      <b val="true"/>
      <sz val="11"/>
      <color rgb="FF7A1F2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A1F2B"/>
        <bgColor rgb="FF800000"/>
      </patternFill>
    </fill>
    <fill>
      <patternFill patternType="solid">
        <fgColor rgb="FFF0F0F0"/>
        <bgColor rgb="FFFFFFFF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F0F0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7A1F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26.2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/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26.2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/>
    </row>
    <row r="17" customFormat="false" ht="26.25" hidden="false" customHeight="tru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26"/>
    <col collapsed="false" customWidth="true" hidden="false" outlineLevel="0" max="6" min="6" style="1" width="9"/>
    <col collapsed="false" customWidth="true" hidden="false" outlineLevel="0" max="7" min="7" style="1" width="15"/>
    <col collapsed="false" customWidth="true" hidden="false" outlineLevel="0" max="8" min="8" style="1" width="12"/>
    <col collapsed="false" customWidth="true" hidden="false" outlineLevel="0" max="9" min="9" style="1" width="8"/>
    <col collapsed="false" customWidth="true" hidden="false" outlineLevel="0" max="10" min="10" style="1" width="10"/>
    <col collapsed="false" customWidth="true" hidden="false" outlineLevel="0" max="12" min="11" style="1" width="8"/>
    <col collapsed="false" customWidth="true" hidden="false" outlineLevel="0" max="14" min="13" style="1" width="13"/>
    <col collapsed="false" customWidth="true" hidden="false" outlineLevel="0" max="15" min="15" style="1" width="26"/>
  </cols>
  <sheetData>
    <row r="1" customFormat="false" ht="23.25" hidden="false" customHeight="true" outlineLevel="0" collapsed="false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</row>
    <row r="2" customFormat="false" ht="15" hidden="false" customHeight="true" outlineLevel="0" collapsed="false">
      <c r="A2" s="6" t="s">
        <v>29</v>
      </c>
      <c r="B2" s="6" t="s">
        <v>30</v>
      </c>
      <c r="C2" s="6" t="s">
        <v>31</v>
      </c>
      <c r="D2" s="6" t="s">
        <v>32</v>
      </c>
      <c r="E2" s="6" t="s">
        <v>33</v>
      </c>
      <c r="F2" s="6" t="n">
        <v>420</v>
      </c>
      <c r="G2" s="6" t="n">
        <v>610</v>
      </c>
      <c r="H2" s="6" t="s">
        <v>34</v>
      </c>
      <c r="I2" s="6" t="n">
        <v>34</v>
      </c>
      <c r="J2" s="6" t="n">
        <v>6</v>
      </c>
      <c r="K2" s="6" t="n">
        <v>9</v>
      </c>
      <c r="L2" s="6" t="n">
        <v>12</v>
      </c>
      <c r="M2" s="6" t="n">
        <v>3</v>
      </c>
      <c r="N2" s="7" t="n">
        <f aca="false">IFERROR((I2+J2+K2+L2)/F2,"")</f>
        <v>0.145238095238095</v>
      </c>
      <c r="O2" s="6" t="s">
        <v>35</v>
      </c>
    </row>
    <row r="3" customFormat="false" ht="15" hidden="false" customHeight="true" outlineLevel="0" collapsed="false">
      <c r="A3" s="8" t="s">
        <v>36</v>
      </c>
      <c r="B3" s="8" t="s">
        <v>37</v>
      </c>
      <c r="C3" s="8" t="s">
        <v>38</v>
      </c>
      <c r="D3" s="8" t="s">
        <v>39</v>
      </c>
      <c r="E3" s="8" t="s">
        <v>40</v>
      </c>
      <c r="F3" s="8" t="n">
        <v>69</v>
      </c>
      <c r="G3" s="8"/>
      <c r="H3" s="8"/>
      <c r="I3" s="8" t="n">
        <v>3</v>
      </c>
      <c r="J3" s="8" t="n">
        <v>0</v>
      </c>
      <c r="K3" s="8" t="n">
        <v>0</v>
      </c>
      <c r="L3" s="8"/>
      <c r="M3" s="8"/>
      <c r="N3" s="9" t="n">
        <f aca="false">IFERROR((I3+J3+K3+L3)/F3,"")</f>
        <v>0.0434782608695652</v>
      </c>
      <c r="O3" s="8" t="s">
        <v>41</v>
      </c>
    </row>
    <row r="4" customFormat="false" ht="15" hidden="false" customHeight="true" outlineLevel="0" collapsed="false">
      <c r="A4" s="8" t="s">
        <v>36</v>
      </c>
      <c r="B4" s="8" t="s">
        <v>37</v>
      </c>
      <c r="C4" s="8" t="s">
        <v>38</v>
      </c>
      <c r="D4" s="8" t="s">
        <v>39</v>
      </c>
      <c r="E4" s="8" t="s">
        <v>42</v>
      </c>
      <c r="F4" s="8" t="n">
        <v>75</v>
      </c>
      <c r="G4" s="8"/>
      <c r="H4" s="8"/>
      <c r="I4" s="8" t="n">
        <v>4</v>
      </c>
      <c r="J4" s="8" t="n">
        <v>1</v>
      </c>
      <c r="K4" s="8" t="n">
        <v>0</v>
      </c>
      <c r="L4" s="8"/>
      <c r="M4" s="8"/>
      <c r="N4" s="9" t="n">
        <f aca="false">IFERROR((I4+J4+K4+L4)/F4,"")</f>
        <v>0.0666666666666667</v>
      </c>
      <c r="O4" s="8" t="s">
        <v>43</v>
      </c>
    </row>
    <row r="5" customFormat="false" ht="15" hidden="false" customHeight="true" outlineLevel="0" collapsed="false">
      <c r="A5" s="8" t="s">
        <v>44</v>
      </c>
      <c r="B5" s="8" t="s">
        <v>37</v>
      </c>
      <c r="C5" s="8" t="s">
        <v>38</v>
      </c>
      <c r="D5" s="8" t="s">
        <v>39</v>
      </c>
      <c r="E5" s="8" t="s">
        <v>45</v>
      </c>
      <c r="F5" s="8" t="n">
        <v>2</v>
      </c>
      <c r="G5" s="8"/>
      <c r="H5" s="8"/>
      <c r="I5" s="8" t="n">
        <v>4</v>
      </c>
      <c r="J5" s="8" t="n">
        <v>0</v>
      </c>
      <c r="K5" s="8" t="n">
        <v>0</v>
      </c>
      <c r="L5" s="8"/>
      <c r="M5" s="8"/>
      <c r="N5" s="9" t="n">
        <f aca="false">IFERROR((I5+J5+K5+L5)/F5,"")</f>
        <v>2</v>
      </c>
      <c r="O5" s="8" t="s">
        <v>41</v>
      </c>
    </row>
    <row r="6" customFormat="false" ht="15" hidden="false" customHeight="true" outlineLevel="0" collapsed="false">
      <c r="A6" s="8" t="s">
        <v>44</v>
      </c>
      <c r="B6" s="8" t="s">
        <v>37</v>
      </c>
      <c r="C6" s="8" t="s">
        <v>38</v>
      </c>
      <c r="D6" s="8" t="s">
        <v>46</v>
      </c>
      <c r="E6" s="8" t="s">
        <v>47</v>
      </c>
      <c r="F6" s="8" t="n">
        <v>428</v>
      </c>
      <c r="G6" s="8"/>
      <c r="H6" s="8"/>
      <c r="I6" s="8" t="n">
        <v>28</v>
      </c>
      <c r="J6" s="8" t="n">
        <v>13</v>
      </c>
      <c r="K6" s="8" t="n">
        <v>5</v>
      </c>
      <c r="L6" s="8"/>
      <c r="M6" s="8"/>
      <c r="N6" s="9" t="n">
        <f aca="false">IFERROR((I6+J6+K6+L6)/F6,"")</f>
        <v>0.107476635514019</v>
      </c>
      <c r="O6" s="8" t="s">
        <v>48</v>
      </c>
    </row>
    <row r="7" customFormat="false" ht="15" hidden="false" customHeight="true" outlineLevel="0" collapsed="false">
      <c r="A7" s="8" t="s">
        <v>49</v>
      </c>
      <c r="B7" s="8" t="s">
        <v>37</v>
      </c>
      <c r="C7" s="8" t="s">
        <v>38</v>
      </c>
      <c r="D7" s="8" t="s">
        <v>46</v>
      </c>
      <c r="E7" s="8" t="s">
        <v>50</v>
      </c>
      <c r="F7" s="8" t="n">
        <v>65</v>
      </c>
      <c r="G7" s="8"/>
      <c r="H7" s="8"/>
      <c r="I7" s="8" t="n">
        <v>4</v>
      </c>
      <c r="J7" s="8" t="n">
        <v>0</v>
      </c>
      <c r="K7" s="8" t="n">
        <v>1</v>
      </c>
      <c r="L7" s="8"/>
      <c r="M7" s="8"/>
      <c r="N7" s="9" t="n">
        <f aca="false">IFERROR((I7+J7+K7+L7)/F7,"")</f>
        <v>0.0769230769230769</v>
      </c>
      <c r="O7" s="8" t="s">
        <v>51</v>
      </c>
    </row>
    <row r="8" customFormat="false" ht="15" hidden="false" customHeight="true" outlineLevel="0" collapsed="false">
      <c r="A8" s="8" t="s">
        <v>29</v>
      </c>
      <c r="B8" s="8" t="s">
        <v>37</v>
      </c>
      <c r="C8" s="8" t="s">
        <v>31</v>
      </c>
      <c r="D8" s="8" t="s">
        <v>46</v>
      </c>
      <c r="E8" s="8" t="s">
        <v>52</v>
      </c>
      <c r="F8" s="8" t="n">
        <v>341</v>
      </c>
      <c r="G8" s="8" t="n">
        <v>357</v>
      </c>
      <c r="H8" s="8"/>
      <c r="I8" s="8" t="n">
        <v>2</v>
      </c>
      <c r="J8" s="8" t="n">
        <v>0</v>
      </c>
      <c r="K8" s="8" t="n">
        <v>0</v>
      </c>
      <c r="L8" s="8"/>
      <c r="M8" s="8"/>
      <c r="N8" s="9" t="n">
        <f aca="false">IFERROR((I8+J8+K8+L8)/F8,"")</f>
        <v>0.00586510263929619</v>
      </c>
      <c r="O8" s="8" t="s">
        <v>53</v>
      </c>
    </row>
    <row r="9" customFormat="false" ht="15" hidden="false" customHeight="true" outlineLevel="0" collapsed="false">
      <c r="A9" s="8" t="s">
        <v>29</v>
      </c>
      <c r="B9" s="8" t="s">
        <v>37</v>
      </c>
      <c r="C9" s="8" t="s">
        <v>31</v>
      </c>
      <c r="D9" s="8" t="s">
        <v>46</v>
      </c>
      <c r="E9" s="8" t="s">
        <v>54</v>
      </c>
      <c r="F9" s="8" t="n">
        <v>389</v>
      </c>
      <c r="G9" s="8" t="n">
        <v>372</v>
      </c>
      <c r="H9" s="8"/>
      <c r="I9" s="8" t="n">
        <v>5</v>
      </c>
      <c r="J9" s="8" t="n">
        <v>0</v>
      </c>
      <c r="K9" s="8" t="n">
        <v>0</v>
      </c>
      <c r="L9" s="8"/>
      <c r="M9" s="8"/>
      <c r="N9" s="9" t="n">
        <f aca="false">IFERROR((I9+J9+K9+L9)/F9,"")</f>
        <v>0.012853470437018</v>
      </c>
      <c r="O9" s="8" t="s">
        <v>55</v>
      </c>
    </row>
    <row r="10" customFormat="false" ht="15" hidden="false" customHeight="true" outlineLevel="0" collapsed="false">
      <c r="A10" s="8" t="s">
        <v>29</v>
      </c>
      <c r="B10" s="8" t="s">
        <v>37</v>
      </c>
      <c r="C10" s="8" t="s">
        <v>31</v>
      </c>
      <c r="D10" s="8" t="s">
        <v>56</v>
      </c>
      <c r="E10" s="8" t="s">
        <v>57</v>
      </c>
      <c r="F10" s="8" t="n">
        <v>226</v>
      </c>
      <c r="G10" s="8" t="n">
        <v>235</v>
      </c>
      <c r="H10" s="8"/>
      <c r="I10" s="8" t="n">
        <v>1</v>
      </c>
      <c r="J10" s="8" t="n">
        <v>0</v>
      </c>
      <c r="K10" s="8" t="n">
        <v>0</v>
      </c>
      <c r="L10" s="8"/>
      <c r="M10" s="8"/>
      <c r="N10" s="9" t="n">
        <f aca="false">IFERROR((I10+J10+K10+L10)/F10,"")</f>
        <v>0.00442477876106195</v>
      </c>
      <c r="O10" s="8" t="s">
        <v>58</v>
      </c>
    </row>
    <row r="11" customFormat="false" ht="15" hidden="false" customHeight="true" outlineLevel="0" collapsed="false">
      <c r="A11" s="8" t="s">
        <v>29</v>
      </c>
      <c r="B11" s="8" t="s">
        <v>37</v>
      </c>
      <c r="C11" s="8" t="s">
        <v>31</v>
      </c>
      <c r="D11" s="8" t="s">
        <v>56</v>
      </c>
      <c r="E11" s="8" t="s">
        <v>57</v>
      </c>
      <c r="F11" s="8" t="n">
        <v>210</v>
      </c>
      <c r="G11" s="8" t="n">
        <v>227</v>
      </c>
      <c r="H11" s="8"/>
      <c r="I11" s="8" t="n">
        <v>5</v>
      </c>
      <c r="J11" s="8" t="n">
        <v>1</v>
      </c>
      <c r="K11" s="8" t="n">
        <v>1</v>
      </c>
      <c r="L11" s="8"/>
      <c r="M11" s="8"/>
      <c r="N11" s="9" t="n">
        <f aca="false">IFERROR((I11+J11+K11+L11)/F11,"")</f>
        <v>0.0333333333333333</v>
      </c>
      <c r="O11" s="8" t="s">
        <v>59</v>
      </c>
    </row>
    <row r="12" customFormat="false" ht="15" hidden="false" customHeight="tru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9" t="str">
        <f aca="false">IFERROR((I12+J12+K12+L12)/F12,"")</f>
        <v/>
      </c>
      <c r="O12" s="8"/>
    </row>
    <row r="13" customFormat="false" ht="15" hidden="false" customHeight="tru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9" t="str">
        <f aca="false">IFERROR((I13+J13+K13+L13)/F13,"")</f>
        <v/>
      </c>
      <c r="O13" s="8"/>
    </row>
    <row r="14" customFormat="false" ht="15" hidden="false" customHeight="tru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9" t="str">
        <f aca="false">IFERROR((I14+J14+K14+L14)/F14,"")</f>
        <v/>
      </c>
      <c r="O14" s="8"/>
    </row>
    <row r="15" customFormat="false" ht="15" hidden="false" customHeight="tru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9" t="str">
        <f aca="false">IFERROR((I15+J15+K15+L15)/F15,"")</f>
        <v/>
      </c>
      <c r="O15" s="8"/>
    </row>
    <row r="16" customFormat="false" ht="15" hidden="false" customHeight="tru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 t="str">
        <f aca="false">IFERROR((I16+J16+K16+L16)/F16,"")</f>
        <v/>
      </c>
      <c r="O16" s="8"/>
    </row>
    <row r="17" customFormat="false" ht="15" hidden="false" customHeight="tru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9" t="str">
        <f aca="false">IFERROR((I17+J17+K17+L17)/F17,"")</f>
        <v/>
      </c>
      <c r="O17" s="8"/>
    </row>
    <row r="18" customFormat="false" ht="15" hidden="false" customHeight="tru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9" t="str">
        <f aca="false">IFERROR((I18+J18+K18+L18)/F18,"")</f>
        <v/>
      </c>
      <c r="O18" s="8"/>
    </row>
    <row r="19" customFormat="false" ht="15" hidden="false" customHeight="tru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9" t="str">
        <f aca="false">IFERROR((I19+J19+K19+L19)/F19,"")</f>
        <v/>
      </c>
      <c r="O19" s="8"/>
    </row>
    <row r="20" customFormat="false" ht="15" hidden="false" customHeight="tru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9" t="str">
        <f aca="false">IFERROR((I20+J20+K20+L20)/F20,"")</f>
        <v/>
      </c>
      <c r="O20" s="8"/>
    </row>
    <row r="21" customFormat="false" ht="15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9" t="str">
        <f aca="false">IFERROR((I21+J21+K21+L21)/F21,"")</f>
        <v/>
      </c>
      <c r="O21" s="8"/>
    </row>
    <row r="22" customFormat="false" ht="15" hidden="false" customHeight="tru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9" t="str">
        <f aca="false">IFERROR((I22+J22+K22+L22)/F22,"")</f>
        <v/>
      </c>
      <c r="O22" s="8"/>
    </row>
    <row r="23" customFormat="false" ht="1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 t="str">
        <f aca="false">IFERROR((I23+J23+K23+L23)/F23,"")</f>
        <v/>
      </c>
      <c r="O23" s="8"/>
    </row>
    <row r="24" customFormat="false" ht="1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9" t="str">
        <f aca="false">IFERROR((I24+J24+K24+L24)/F24,"")</f>
        <v/>
      </c>
      <c r="O24" s="8"/>
    </row>
    <row r="25" customFormat="false" ht="1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9" t="str">
        <f aca="false">IFERROR((I25+J25+K25+L25)/F25,"")</f>
        <v/>
      </c>
      <c r="O25" s="8"/>
    </row>
    <row r="26" customFormat="false" ht="1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9" t="str">
        <f aca="false">IFERROR((I26+J26+K26+L26)/F26,"")</f>
        <v/>
      </c>
      <c r="O26" s="8"/>
    </row>
    <row r="27" customFormat="false" ht="1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9" t="str">
        <f aca="false">IFERROR((I27+J27+K27+L27)/F27,"")</f>
        <v/>
      </c>
      <c r="O27" s="8"/>
    </row>
    <row r="28" customFormat="false" ht="1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9" t="str">
        <f aca="false">IFERROR((I28+J28+K28+L28)/F28,"")</f>
        <v/>
      </c>
      <c r="O28" s="8"/>
    </row>
    <row r="29" customFormat="false" ht="1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9" t="str">
        <f aca="false">IFERROR((I29+J29+K29+L29)/F29,"")</f>
        <v/>
      </c>
      <c r="O29" s="8"/>
    </row>
    <row r="30" customFormat="false" ht="1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9" t="str">
        <f aca="false">IFERROR((I30+J30+K30+L30)/F30,"")</f>
        <v/>
      </c>
      <c r="O30" s="8"/>
    </row>
    <row r="31" customFormat="false" ht="15" hidden="false" customHeight="tru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9" t="str">
        <f aca="false">IFERROR((I31+J31+K31+L31)/F31,"")</f>
        <v/>
      </c>
      <c r="O31" s="8"/>
    </row>
    <row r="32" customFormat="false" ht="15" hidden="false" customHeight="tru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9" t="str">
        <f aca="false">IFERROR((I32+J32+K32+L32)/F32,"")</f>
        <v/>
      </c>
      <c r="O32" s="8"/>
    </row>
    <row r="33" customFormat="false" ht="15" hidden="false" customHeight="tru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9" t="str">
        <f aca="false">IFERROR((I33+J33+K33+L33)/F33,"")</f>
        <v/>
      </c>
      <c r="O33" s="8"/>
    </row>
    <row r="34" customFormat="false" ht="15" hidden="false" customHeight="tru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9" t="str">
        <f aca="false">IFERROR((I34+J34+K34+L34)/F34,"")</f>
        <v/>
      </c>
      <c r="O34" s="8"/>
    </row>
    <row r="35" customFormat="false" ht="15" hidden="false" customHeight="tru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9" t="str">
        <f aca="false">IFERROR((I35+J35+K35+L35)/F35,"")</f>
        <v/>
      </c>
      <c r="O35" s="8"/>
    </row>
    <row r="36" customFormat="false" ht="15" hidden="false" customHeight="tru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9" t="str">
        <f aca="false">IFERROR((I36+J36+K36+L36)/F36,"")</f>
        <v/>
      </c>
      <c r="O36" s="8"/>
    </row>
    <row r="37" customFormat="false" ht="15" hidden="false" customHeight="tru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9" t="str">
        <f aca="false">IFERROR((I37+J37+K37+L37)/F37,"")</f>
        <v/>
      </c>
      <c r="O37" s="8"/>
    </row>
    <row r="38" customFormat="false" ht="15" hidden="false" customHeight="tru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9" t="str">
        <f aca="false">IFERROR((I38+J38+K38+L38)/F38,"")</f>
        <v/>
      </c>
      <c r="O38" s="8"/>
    </row>
    <row r="39" customFormat="false" ht="15" hidden="false" customHeight="tru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9" t="str">
        <f aca="false">IFERROR((I39+J39+K39+L39)/F39,"")</f>
        <v/>
      </c>
      <c r="O39" s="8"/>
    </row>
    <row r="40" customFormat="false" ht="15" hidden="false" customHeight="tru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9" t="str">
        <f aca="false">IFERROR((I40+J40+K40+L40)/F40,"")</f>
        <v/>
      </c>
      <c r="O40" s="8"/>
    </row>
    <row r="41" customFormat="false" ht="15" hidden="false" customHeight="tru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9" t="str">
        <f aca="false">IFERROR((I41+J41+K41+L41)/F41,"")</f>
        <v/>
      </c>
      <c r="O41" s="8"/>
    </row>
    <row r="42" customFormat="false" ht="15" hidden="false" customHeight="tru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9" t="str">
        <f aca="false">IFERROR((I42+J42+K42+L42)/F42,"")</f>
        <v/>
      </c>
      <c r="O4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</cols>
  <sheetData>
    <row r="1" customFormat="false" ht="15.75" hidden="false" customHeight="true" outlineLevel="0" collapsed="false">
      <c r="A1" s="10" t="s">
        <v>60</v>
      </c>
    </row>
    <row r="3" customFormat="false" ht="15" hidden="false" customHeight="true" outlineLevel="0" collapsed="false">
      <c r="A3" s="11" t="s">
        <v>61</v>
      </c>
      <c r="B3" s="12" t="n">
        <f aca="false">COUNTA('Post Tracker'!A3:A42)</f>
        <v>9</v>
      </c>
    </row>
    <row r="4" customFormat="false" ht="15" hidden="false" customHeight="true" outlineLevel="0" collapsed="false">
      <c r="A4" s="11" t="s">
        <v>62</v>
      </c>
      <c r="B4" s="12" t="n">
        <f aca="false">SUM('Post Tracker'!F3:F42)</f>
        <v>1805</v>
      </c>
    </row>
    <row r="5" customFormat="false" ht="15" hidden="false" customHeight="true" outlineLevel="0" collapsed="false">
      <c r="A5" s="11" t="s">
        <v>63</v>
      </c>
      <c r="B5" s="12" t="n">
        <f aca="false">SUM('Post Tracker'!M3:M42)</f>
        <v>0</v>
      </c>
    </row>
    <row r="6" customFormat="false" ht="15" hidden="false" customHeight="true" outlineLevel="0" collapsed="false">
      <c r="A6" s="11" t="s">
        <v>64</v>
      </c>
      <c r="B6" s="13" t="n">
        <f aca="false">IFERROR(AVERAGE('Post Tracker'!N3:N42),"")</f>
        <v>0.261224591682671</v>
      </c>
    </row>
    <row r="7" customFormat="false" ht="15" hidden="false" customHeight="true" outlineLevel="0" collapsed="false">
      <c r="A7" s="11" t="s">
        <v>65</v>
      </c>
      <c r="B7" s="12" t="str">
        <f aca="false">IFERROR(INDEX('Post Tracker'!E3:E42,MATCH(MAX('Post Tracker'!M3:M42),'Post Tracker'!M3:M42,0)),"")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2026-09-12T08:11:35Z</dcterms:created>
  <dc:creator>openpyxl</dc:creator>
  <dc:description/>
  <dc:language>en-US</dc:language>
  <cp:lastModifiedBy/>
  <dcterms:modified xsi:type="dcterms:W3CDTF">2026-09-12T08:29:16Z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